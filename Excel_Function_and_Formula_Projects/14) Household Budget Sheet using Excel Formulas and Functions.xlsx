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PW DataAnalyticsFinalNotes\1 - Excel Final\Excel Projects\1) Excel Functions and Formula Project\"/>
    </mc:Choice>
  </mc:AlternateContent>
  <xr:revisionPtr revIDLastSave="0" documentId="13_ncr:1_{D3111360-8E8F-418A-B187-19C691D6A5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 - Budg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4" i="1" l="1"/>
  <c r="P4" i="1"/>
  <c r="O4" i="1"/>
  <c r="Q4" i="1"/>
  <c r="M4" i="1"/>
  <c r="L4" i="1"/>
  <c r="K4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2" i="1"/>
</calcChain>
</file>

<file path=xl/sharedStrings.xml><?xml version="1.0" encoding="utf-8"?>
<sst xmlns="http://schemas.openxmlformats.org/spreadsheetml/2006/main" count="106" uniqueCount="38">
  <si>
    <t>Month</t>
  </si>
  <si>
    <t>Category</t>
  </si>
  <si>
    <t>Item</t>
  </si>
  <si>
    <t>Estimated Cost</t>
  </si>
  <si>
    <t>Actual Cost</t>
  </si>
  <si>
    <t>Difference</t>
  </si>
  <si>
    <t>Remarks</t>
  </si>
  <si>
    <t>January</t>
  </si>
  <si>
    <t>Rent</t>
  </si>
  <si>
    <t>House Rent</t>
  </si>
  <si>
    <t>Utilities</t>
  </si>
  <si>
    <t>Electricity Bill</t>
  </si>
  <si>
    <t>Water Bill</t>
  </si>
  <si>
    <t>Groceries</t>
  </si>
  <si>
    <t>Monthly Grocery</t>
  </si>
  <si>
    <t>Transport</t>
  </si>
  <si>
    <t>Fuel</t>
  </si>
  <si>
    <t>Entertainment</t>
  </si>
  <si>
    <t>Movie/Outing</t>
  </si>
  <si>
    <t>February</t>
  </si>
  <si>
    <t>Medical</t>
  </si>
  <si>
    <t>Medicines</t>
  </si>
  <si>
    <t>March</t>
  </si>
  <si>
    <t>Internet Bill</t>
  </si>
  <si>
    <t>Subscription</t>
  </si>
  <si>
    <t>April</t>
  </si>
  <si>
    <t>May</t>
  </si>
  <si>
    <t>Party</t>
  </si>
  <si>
    <t>June</t>
  </si>
  <si>
    <t>Savings</t>
  </si>
  <si>
    <t>Monthly Savings</t>
  </si>
  <si>
    <t>Checkup</t>
  </si>
  <si>
    <t>Precautions</t>
  </si>
  <si>
    <t>Planned Budget</t>
  </si>
  <si>
    <t>Total Difference</t>
  </si>
  <si>
    <t>Income</t>
  </si>
  <si>
    <t>Total Expense</t>
  </si>
  <si>
    <t>Saving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</si>
</sst>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2" xfId="0" applyFont="1" applyFill="1" applyBorder="1" applyAlignment="1">
      <alignment horizontal="center" vertical="center"/>
    </xf>
    <xf numFmtId="0" fontId="0" fillId="0" borderId="1" xfId="0" applyBorder="1"/>
    <xf numFmtId="43" fontId="0" fillId="0" borderId="1" xfId="1" applyFont="1" applyBorder="1"/>
    <xf numFmtId="43" fontId="0" fillId="0" borderId="1" xfId="0" applyNumberForma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1"/>
  <sheetViews>
    <sheetView tabSelected="1" topLeftCell="B1" workbookViewId="0">
      <selection activeCell="N13" sqref="N13"/>
    </sheetView>
  </sheetViews>
  <sheetFormatPr defaultRowHeight="14.4" x14ac:dyDescent="0.3"/>
  <cols>
    <col min="1" max="1" width="8.109375" bestFit="1" customWidth="1"/>
    <col min="2" max="2" width="12.6640625" bestFit="1" customWidth="1"/>
    <col min="3" max="3" width="14.77734375" bestFit="1" customWidth="1"/>
    <col min="4" max="4" width="13.5546875" bestFit="1" customWidth="1"/>
    <col min="5" max="5" width="10.44140625" bestFit="1" customWidth="1"/>
    <col min="6" max="6" width="9.6640625" bestFit="1" customWidth="1"/>
    <col min="7" max="7" width="12.109375" bestFit="1" customWidth="1"/>
    <col min="8" max="8" width="21.44140625" bestFit="1" customWidth="1"/>
    <col min="11" max="11" width="13.6640625" bestFit="1" customWidth="1"/>
    <col min="12" max="12" width="10.21875" bestFit="1" customWidth="1"/>
    <col min="13" max="13" width="9.5546875" bestFit="1" customWidth="1"/>
    <col min="14" max="14" width="7.109375" bestFit="1" customWidth="1"/>
    <col min="15" max="15" width="12.33203125" bestFit="1" customWidth="1"/>
    <col min="16" max="16" width="9.88671875" bestFit="1" customWidth="1"/>
    <col min="17" max="17" width="14.33203125" bestFit="1" customWidth="1"/>
    <col min="18" max="18" width="15.77734375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32</v>
      </c>
    </row>
    <row r="2" spans="1:18" x14ac:dyDescent="0.3">
      <c r="A2" s="2" t="s">
        <v>7</v>
      </c>
      <c r="B2" s="2" t="s">
        <v>8</v>
      </c>
      <c r="C2" s="2" t="s">
        <v>9</v>
      </c>
      <c r="D2" s="2">
        <v>12000</v>
      </c>
      <c r="E2" s="2">
        <v>12000</v>
      </c>
      <c r="F2" s="2">
        <f>E2-D2</f>
        <v>0</v>
      </c>
      <c r="G2" s="2" t="str">
        <f>IF(F2&gt;0,"Over Budget","UnderBudget")</f>
        <v>UnderBudget</v>
      </c>
      <c r="H2" t="str">
        <f>IF(F2&gt;0,"Need to Reduce Expense","Good Control Budget")</f>
        <v>Good Control Budget</v>
      </c>
    </row>
    <row r="3" spans="1:18" x14ac:dyDescent="0.3">
      <c r="A3" s="2" t="s">
        <v>7</v>
      </c>
      <c r="B3" s="2" t="s">
        <v>10</v>
      </c>
      <c r="C3" s="2" t="s">
        <v>11</v>
      </c>
      <c r="D3" s="2">
        <v>1500</v>
      </c>
      <c r="E3" s="2">
        <v>1600</v>
      </c>
      <c r="F3" s="2">
        <f t="shared" ref="F3:F31" si="0">E3-D3</f>
        <v>100</v>
      </c>
      <c r="G3" s="2" t="str">
        <f t="shared" ref="G3:G31" si="1">IF(F3&gt;0,"Over Budget","UnderBudget")</f>
        <v>Over Budget</v>
      </c>
      <c r="H3" t="str">
        <f t="shared" ref="H3:H31" si="2">IF(F3&gt;0,"Need to Reduce Expense","Good Control Budget")</f>
        <v>Need to Reduce Expense</v>
      </c>
      <c r="K3" s="4" t="s">
        <v>33</v>
      </c>
      <c r="L3" s="4" t="s">
        <v>4</v>
      </c>
      <c r="M3" s="4" t="s">
        <v>5</v>
      </c>
      <c r="N3" s="4" t="s">
        <v>35</v>
      </c>
      <c r="O3" s="4" t="s">
        <v>36</v>
      </c>
      <c r="P3" s="4" t="s">
        <v>29</v>
      </c>
      <c r="Q3" s="4" t="s">
        <v>34</v>
      </c>
      <c r="R3" s="4" t="s">
        <v>37</v>
      </c>
    </row>
    <row r="4" spans="1:18" x14ac:dyDescent="0.3">
      <c r="A4" s="2" t="s">
        <v>7</v>
      </c>
      <c r="B4" s="2" t="s">
        <v>10</v>
      </c>
      <c r="C4" s="2" t="s">
        <v>12</v>
      </c>
      <c r="D4" s="2">
        <v>500</v>
      </c>
      <c r="E4" s="2">
        <v>450</v>
      </c>
      <c r="F4" s="2">
        <f t="shared" si="0"/>
        <v>-50</v>
      </c>
      <c r="G4" s="2" t="str">
        <f t="shared" si="1"/>
        <v>UnderBudget</v>
      </c>
      <c r="H4" t="str">
        <f t="shared" si="2"/>
        <v>Good Control Budget</v>
      </c>
      <c r="K4" s="4">
        <f>SUM(D2:D31)</f>
        <v>124500</v>
      </c>
      <c r="L4" s="4">
        <f>SUM(E2:E31)</f>
        <v>125050</v>
      </c>
      <c r="M4" s="4">
        <f>L4-K4</f>
        <v>550</v>
      </c>
      <c r="N4" s="4">
        <v>200000</v>
      </c>
      <c r="O4" s="5">
        <f>SUM(E2:E31)</f>
        <v>125050</v>
      </c>
      <c r="P4" s="6">
        <f>N4-O4</f>
        <v>74950</v>
      </c>
      <c r="Q4" s="4">
        <f>SUM(F2:F31)</f>
        <v>550</v>
      </c>
      <c r="R4" s="6">
        <f>(N4-O4)/N4*100</f>
        <v>37.475000000000001</v>
      </c>
    </row>
    <row r="5" spans="1:18" x14ac:dyDescent="0.3">
      <c r="A5" s="2" t="s">
        <v>7</v>
      </c>
      <c r="B5" s="2" t="s">
        <v>13</v>
      </c>
      <c r="C5" s="2" t="s">
        <v>14</v>
      </c>
      <c r="D5" s="2">
        <v>4000</v>
      </c>
      <c r="E5" s="2">
        <v>4200</v>
      </c>
      <c r="F5" s="2">
        <f t="shared" si="0"/>
        <v>200</v>
      </c>
      <c r="G5" s="2" t="str">
        <f t="shared" si="1"/>
        <v>Over Budget</v>
      </c>
      <c r="H5" t="str">
        <f t="shared" si="2"/>
        <v>Need to Reduce Expense</v>
      </c>
    </row>
    <row r="6" spans="1:18" x14ac:dyDescent="0.3">
      <c r="A6" s="2" t="s">
        <v>7</v>
      </c>
      <c r="B6" s="2" t="s">
        <v>15</v>
      </c>
      <c r="C6" s="2" t="s">
        <v>16</v>
      </c>
      <c r="D6" s="2">
        <v>2000</v>
      </c>
      <c r="E6" s="2">
        <v>1900</v>
      </c>
      <c r="F6" s="2">
        <f t="shared" si="0"/>
        <v>-100</v>
      </c>
      <c r="G6" s="2" t="str">
        <f t="shared" si="1"/>
        <v>UnderBudget</v>
      </c>
      <c r="H6" t="str">
        <f t="shared" si="2"/>
        <v>Good Control Budget</v>
      </c>
    </row>
    <row r="7" spans="1:18" x14ac:dyDescent="0.3">
      <c r="A7" s="2" t="s">
        <v>7</v>
      </c>
      <c r="B7" s="2" t="s">
        <v>17</v>
      </c>
      <c r="C7" s="2" t="s">
        <v>18</v>
      </c>
      <c r="D7" s="2">
        <v>1000</v>
      </c>
      <c r="E7" s="2">
        <v>1200</v>
      </c>
      <c r="F7" s="2">
        <f t="shared" si="0"/>
        <v>200</v>
      </c>
      <c r="G7" s="2" t="str">
        <f t="shared" si="1"/>
        <v>Over Budget</v>
      </c>
      <c r="H7" t="str">
        <f t="shared" si="2"/>
        <v>Need to Reduce Expense</v>
      </c>
    </row>
    <row r="8" spans="1:18" x14ac:dyDescent="0.3">
      <c r="A8" s="2" t="s">
        <v>19</v>
      </c>
      <c r="B8" s="2" t="s">
        <v>8</v>
      </c>
      <c r="C8" s="2" t="s">
        <v>9</v>
      </c>
      <c r="D8" s="2">
        <v>12000</v>
      </c>
      <c r="E8" s="2">
        <v>12000</v>
      </c>
      <c r="F8" s="2">
        <f t="shared" si="0"/>
        <v>0</v>
      </c>
      <c r="G8" s="2" t="str">
        <f t="shared" si="1"/>
        <v>UnderBudget</v>
      </c>
      <c r="H8" t="str">
        <f t="shared" si="2"/>
        <v>Good Control Budget</v>
      </c>
    </row>
    <row r="9" spans="1:18" x14ac:dyDescent="0.3">
      <c r="A9" s="2" t="s">
        <v>19</v>
      </c>
      <c r="B9" s="2" t="s">
        <v>10</v>
      </c>
      <c r="C9" s="2" t="s">
        <v>11</v>
      </c>
      <c r="D9" s="2">
        <v>1300</v>
      </c>
      <c r="E9" s="2">
        <v>1250</v>
      </c>
      <c r="F9" s="2">
        <f t="shared" si="0"/>
        <v>-50</v>
      </c>
      <c r="G9" s="2" t="str">
        <f t="shared" si="1"/>
        <v>UnderBudget</v>
      </c>
      <c r="H9" t="str">
        <f t="shared" si="2"/>
        <v>Good Control Budget</v>
      </c>
    </row>
    <row r="10" spans="1:18" x14ac:dyDescent="0.3">
      <c r="A10" s="2" t="s">
        <v>19</v>
      </c>
      <c r="B10" s="2" t="s">
        <v>13</v>
      </c>
      <c r="C10" s="2" t="s">
        <v>14</v>
      </c>
      <c r="D10" s="2">
        <v>4000</v>
      </c>
      <c r="E10" s="2">
        <v>3900</v>
      </c>
      <c r="F10" s="2">
        <f t="shared" si="0"/>
        <v>-100</v>
      </c>
      <c r="G10" s="2" t="str">
        <f t="shared" si="1"/>
        <v>UnderBudget</v>
      </c>
      <c r="H10" t="str">
        <f t="shared" si="2"/>
        <v>Good Control Budget</v>
      </c>
    </row>
    <row r="11" spans="1:18" x14ac:dyDescent="0.3">
      <c r="A11" s="2" t="s">
        <v>19</v>
      </c>
      <c r="B11" s="2" t="s">
        <v>15</v>
      </c>
      <c r="C11" s="2" t="s">
        <v>16</v>
      </c>
      <c r="D11" s="2">
        <v>2000</v>
      </c>
      <c r="E11" s="2">
        <v>2100</v>
      </c>
      <c r="F11" s="2">
        <f t="shared" si="0"/>
        <v>100</v>
      </c>
      <c r="G11" s="2" t="str">
        <f t="shared" si="1"/>
        <v>Over Budget</v>
      </c>
      <c r="H11" t="str">
        <f t="shared" si="2"/>
        <v>Need to Reduce Expense</v>
      </c>
    </row>
    <row r="12" spans="1:18" x14ac:dyDescent="0.3">
      <c r="A12" s="2" t="s">
        <v>19</v>
      </c>
      <c r="B12" s="2" t="s">
        <v>20</v>
      </c>
      <c r="C12" s="2" t="s">
        <v>21</v>
      </c>
      <c r="D12" s="2">
        <v>800</v>
      </c>
      <c r="E12" s="2">
        <v>900</v>
      </c>
      <c r="F12" s="2">
        <f t="shared" si="0"/>
        <v>100</v>
      </c>
      <c r="G12" s="2" t="str">
        <f t="shared" si="1"/>
        <v>Over Budget</v>
      </c>
      <c r="H12" t="str">
        <f t="shared" si="2"/>
        <v>Need to Reduce Expense</v>
      </c>
    </row>
    <row r="13" spans="1:18" x14ac:dyDescent="0.3">
      <c r="A13" s="2" t="s">
        <v>22</v>
      </c>
      <c r="B13" s="2" t="s">
        <v>8</v>
      </c>
      <c r="C13" s="2" t="s">
        <v>9</v>
      </c>
      <c r="D13" s="2">
        <v>12000</v>
      </c>
      <c r="E13" s="2">
        <v>12000</v>
      </c>
      <c r="F13" s="2">
        <f t="shared" si="0"/>
        <v>0</v>
      </c>
      <c r="G13" s="2" t="str">
        <f t="shared" si="1"/>
        <v>UnderBudget</v>
      </c>
      <c r="H13" t="str">
        <f t="shared" si="2"/>
        <v>Good Control Budget</v>
      </c>
    </row>
    <row r="14" spans="1:18" x14ac:dyDescent="0.3">
      <c r="A14" s="2" t="s">
        <v>22</v>
      </c>
      <c r="B14" s="2" t="s">
        <v>13</v>
      </c>
      <c r="C14" s="2" t="s">
        <v>14</v>
      </c>
      <c r="D14" s="2">
        <v>4000</v>
      </c>
      <c r="E14" s="2">
        <v>3850</v>
      </c>
      <c r="F14" s="2">
        <f t="shared" si="0"/>
        <v>-150</v>
      </c>
      <c r="G14" s="2" t="str">
        <f t="shared" si="1"/>
        <v>UnderBudget</v>
      </c>
      <c r="H14" t="str">
        <f t="shared" si="2"/>
        <v>Good Control Budget</v>
      </c>
    </row>
    <row r="15" spans="1:18" x14ac:dyDescent="0.3">
      <c r="A15" s="2" t="s">
        <v>22</v>
      </c>
      <c r="B15" s="2" t="s">
        <v>10</v>
      </c>
      <c r="C15" s="2" t="s">
        <v>23</v>
      </c>
      <c r="D15" s="2">
        <v>800</v>
      </c>
      <c r="E15" s="2">
        <v>850</v>
      </c>
      <c r="F15" s="2">
        <f t="shared" si="0"/>
        <v>50</v>
      </c>
      <c r="G15" s="2" t="str">
        <f t="shared" si="1"/>
        <v>Over Budget</v>
      </c>
      <c r="H15" t="str">
        <f t="shared" si="2"/>
        <v>Need to Reduce Expense</v>
      </c>
    </row>
    <row r="16" spans="1:18" x14ac:dyDescent="0.3">
      <c r="A16" s="2" t="s">
        <v>22</v>
      </c>
      <c r="B16" s="2" t="s">
        <v>17</v>
      </c>
      <c r="C16" s="2" t="s">
        <v>24</v>
      </c>
      <c r="D16" s="2">
        <v>500</v>
      </c>
      <c r="E16" s="2">
        <v>500</v>
      </c>
      <c r="F16" s="2">
        <f t="shared" si="0"/>
        <v>0</v>
      </c>
      <c r="G16" s="2" t="str">
        <f t="shared" si="1"/>
        <v>UnderBudget</v>
      </c>
      <c r="H16" t="str">
        <f t="shared" si="2"/>
        <v>Good Control Budget</v>
      </c>
    </row>
    <row r="17" spans="1:8" x14ac:dyDescent="0.3">
      <c r="A17" s="2" t="s">
        <v>25</v>
      </c>
      <c r="B17" s="2" t="s">
        <v>8</v>
      </c>
      <c r="C17" s="2" t="s">
        <v>9</v>
      </c>
      <c r="D17" s="2">
        <v>12000</v>
      </c>
      <c r="E17" s="2">
        <v>12000</v>
      </c>
      <c r="F17" s="2">
        <f t="shared" si="0"/>
        <v>0</v>
      </c>
      <c r="G17" s="2" t="str">
        <f t="shared" si="1"/>
        <v>UnderBudget</v>
      </c>
      <c r="H17" t="str">
        <f t="shared" si="2"/>
        <v>Good Control Budget</v>
      </c>
    </row>
    <row r="18" spans="1:8" x14ac:dyDescent="0.3">
      <c r="A18" s="2" t="s">
        <v>25</v>
      </c>
      <c r="B18" s="2" t="s">
        <v>10</v>
      </c>
      <c r="C18" s="2" t="s">
        <v>11</v>
      </c>
      <c r="D18" s="2">
        <v>1600</v>
      </c>
      <c r="E18" s="2">
        <v>1650</v>
      </c>
      <c r="F18" s="2">
        <f t="shared" si="0"/>
        <v>50</v>
      </c>
      <c r="G18" s="2" t="str">
        <f t="shared" si="1"/>
        <v>Over Budget</v>
      </c>
      <c r="H18" t="str">
        <f t="shared" si="2"/>
        <v>Need to Reduce Expense</v>
      </c>
    </row>
    <row r="19" spans="1:8" x14ac:dyDescent="0.3">
      <c r="A19" s="2" t="s">
        <v>25</v>
      </c>
      <c r="B19" s="2" t="s">
        <v>13</v>
      </c>
      <c r="C19" s="2" t="s">
        <v>14</v>
      </c>
      <c r="D19" s="2">
        <v>4200</v>
      </c>
      <c r="E19" s="2">
        <v>4100</v>
      </c>
      <c r="F19" s="2">
        <f t="shared" si="0"/>
        <v>-100</v>
      </c>
      <c r="G19" s="2" t="str">
        <f t="shared" si="1"/>
        <v>UnderBudget</v>
      </c>
      <c r="H19" t="str">
        <f t="shared" si="2"/>
        <v>Good Control Budget</v>
      </c>
    </row>
    <row r="20" spans="1:8" x14ac:dyDescent="0.3">
      <c r="A20" s="2" t="s">
        <v>25</v>
      </c>
      <c r="B20" s="2" t="s">
        <v>15</v>
      </c>
      <c r="C20" s="2" t="s">
        <v>16</v>
      </c>
      <c r="D20" s="2">
        <v>2100</v>
      </c>
      <c r="E20" s="2">
        <v>2050</v>
      </c>
      <c r="F20" s="2">
        <f t="shared" si="0"/>
        <v>-50</v>
      </c>
      <c r="G20" s="2" t="str">
        <f t="shared" si="1"/>
        <v>UnderBudget</v>
      </c>
      <c r="H20" t="str">
        <f t="shared" si="2"/>
        <v>Good Control Budget</v>
      </c>
    </row>
    <row r="21" spans="1:8" x14ac:dyDescent="0.3">
      <c r="A21" s="2" t="s">
        <v>26</v>
      </c>
      <c r="B21" s="2" t="s">
        <v>8</v>
      </c>
      <c r="C21" s="2" t="s">
        <v>9</v>
      </c>
      <c r="D21" s="2">
        <v>12000</v>
      </c>
      <c r="E21" s="2">
        <v>12000</v>
      </c>
      <c r="F21" s="2">
        <f t="shared" si="0"/>
        <v>0</v>
      </c>
      <c r="G21" s="2" t="str">
        <f t="shared" si="1"/>
        <v>UnderBudget</v>
      </c>
      <c r="H21" t="str">
        <f t="shared" si="2"/>
        <v>Good Control Budget</v>
      </c>
    </row>
    <row r="22" spans="1:8" x14ac:dyDescent="0.3">
      <c r="A22" s="2" t="s">
        <v>26</v>
      </c>
      <c r="B22" s="2" t="s">
        <v>10</v>
      </c>
      <c r="C22" s="2" t="s">
        <v>11</v>
      </c>
      <c r="D22" s="2">
        <v>1700</v>
      </c>
      <c r="E22" s="2">
        <v>1750</v>
      </c>
      <c r="F22" s="2">
        <f t="shared" si="0"/>
        <v>50</v>
      </c>
      <c r="G22" s="2" t="str">
        <f t="shared" si="1"/>
        <v>Over Budget</v>
      </c>
      <c r="H22" t="str">
        <f t="shared" si="2"/>
        <v>Need to Reduce Expense</v>
      </c>
    </row>
    <row r="23" spans="1:8" x14ac:dyDescent="0.3">
      <c r="A23" s="2" t="s">
        <v>26</v>
      </c>
      <c r="B23" s="2" t="s">
        <v>13</v>
      </c>
      <c r="C23" s="2" t="s">
        <v>14</v>
      </c>
      <c r="D23" s="2">
        <v>4200</v>
      </c>
      <c r="E23" s="2">
        <v>4400</v>
      </c>
      <c r="F23" s="2">
        <f t="shared" si="0"/>
        <v>200</v>
      </c>
      <c r="G23" s="2" t="str">
        <f t="shared" si="1"/>
        <v>Over Budget</v>
      </c>
      <c r="H23" t="str">
        <f t="shared" si="2"/>
        <v>Need to Reduce Expense</v>
      </c>
    </row>
    <row r="24" spans="1:8" x14ac:dyDescent="0.3">
      <c r="A24" s="2" t="s">
        <v>26</v>
      </c>
      <c r="B24" s="2" t="s">
        <v>15</v>
      </c>
      <c r="C24" s="2" t="s">
        <v>16</v>
      </c>
      <c r="D24" s="2">
        <v>2000</v>
      </c>
      <c r="E24" s="2">
        <v>1950</v>
      </c>
      <c r="F24" s="2">
        <f t="shared" si="0"/>
        <v>-50</v>
      </c>
      <c r="G24" s="2" t="str">
        <f t="shared" si="1"/>
        <v>UnderBudget</v>
      </c>
      <c r="H24" t="str">
        <f t="shared" si="2"/>
        <v>Good Control Budget</v>
      </c>
    </row>
    <row r="25" spans="1:8" x14ac:dyDescent="0.3">
      <c r="A25" s="2" t="s">
        <v>26</v>
      </c>
      <c r="B25" s="2" t="s">
        <v>17</v>
      </c>
      <c r="C25" s="2" t="s">
        <v>27</v>
      </c>
      <c r="D25" s="2">
        <v>1500</v>
      </c>
      <c r="E25" s="2">
        <v>1800</v>
      </c>
      <c r="F25" s="2">
        <f t="shared" si="0"/>
        <v>300</v>
      </c>
      <c r="G25" s="2" t="str">
        <f t="shared" si="1"/>
        <v>Over Budget</v>
      </c>
      <c r="H25" t="str">
        <f t="shared" si="2"/>
        <v>Need to Reduce Expense</v>
      </c>
    </row>
    <row r="26" spans="1:8" x14ac:dyDescent="0.3">
      <c r="A26" s="2" t="s">
        <v>28</v>
      </c>
      <c r="B26" s="2" t="s">
        <v>8</v>
      </c>
      <c r="C26" s="2" t="s">
        <v>9</v>
      </c>
      <c r="D26" s="2">
        <v>12000</v>
      </c>
      <c r="E26" s="2">
        <v>12000</v>
      </c>
      <c r="F26" s="2">
        <f t="shared" si="0"/>
        <v>0</v>
      </c>
      <c r="G26" s="2" t="str">
        <f t="shared" si="1"/>
        <v>UnderBudget</v>
      </c>
      <c r="H26" t="str">
        <f t="shared" si="2"/>
        <v>Good Control Budget</v>
      </c>
    </row>
    <row r="27" spans="1:8" x14ac:dyDescent="0.3">
      <c r="A27" s="2" t="s">
        <v>28</v>
      </c>
      <c r="B27" s="2" t="s">
        <v>13</v>
      </c>
      <c r="C27" s="2" t="s">
        <v>14</v>
      </c>
      <c r="D27" s="2">
        <v>4000</v>
      </c>
      <c r="E27" s="2">
        <v>4050</v>
      </c>
      <c r="F27" s="2">
        <f t="shared" si="0"/>
        <v>50</v>
      </c>
      <c r="G27" s="2" t="str">
        <f t="shared" si="1"/>
        <v>Over Budget</v>
      </c>
      <c r="H27" t="str">
        <f t="shared" si="2"/>
        <v>Need to Reduce Expense</v>
      </c>
    </row>
    <row r="28" spans="1:8" x14ac:dyDescent="0.3">
      <c r="A28" s="2" t="s">
        <v>28</v>
      </c>
      <c r="B28" s="2" t="s">
        <v>10</v>
      </c>
      <c r="C28" s="2" t="s">
        <v>23</v>
      </c>
      <c r="D28" s="2">
        <v>800</v>
      </c>
      <c r="E28" s="2">
        <v>800</v>
      </c>
      <c r="F28" s="2">
        <f t="shared" si="0"/>
        <v>0</v>
      </c>
      <c r="G28" s="2" t="str">
        <f t="shared" si="1"/>
        <v>UnderBudget</v>
      </c>
      <c r="H28" t="str">
        <f t="shared" si="2"/>
        <v>Good Control Budget</v>
      </c>
    </row>
    <row r="29" spans="1:8" x14ac:dyDescent="0.3">
      <c r="A29" s="2" t="s">
        <v>28</v>
      </c>
      <c r="B29" s="2" t="s">
        <v>29</v>
      </c>
      <c r="C29" s="2" t="s">
        <v>30</v>
      </c>
      <c r="D29" s="2">
        <v>5000</v>
      </c>
      <c r="E29" s="2">
        <v>4500</v>
      </c>
      <c r="F29" s="2">
        <f t="shared" si="0"/>
        <v>-500</v>
      </c>
      <c r="G29" s="2" t="str">
        <f t="shared" si="1"/>
        <v>UnderBudget</v>
      </c>
      <c r="H29" t="str">
        <f t="shared" si="2"/>
        <v>Good Control Budget</v>
      </c>
    </row>
    <row r="30" spans="1:8" x14ac:dyDescent="0.3">
      <c r="A30" s="2" t="s">
        <v>28</v>
      </c>
      <c r="B30" s="2" t="s">
        <v>20</v>
      </c>
      <c r="C30" s="2" t="s">
        <v>31</v>
      </c>
      <c r="D30" s="2">
        <v>1000</v>
      </c>
      <c r="E30" s="2">
        <v>1200</v>
      </c>
      <c r="F30" s="2">
        <f t="shared" si="0"/>
        <v>200</v>
      </c>
      <c r="G30" s="2" t="str">
        <f t="shared" si="1"/>
        <v>Over Budget</v>
      </c>
      <c r="H30" t="str">
        <f t="shared" si="2"/>
        <v>Need to Reduce Expense</v>
      </c>
    </row>
    <row r="31" spans="1:8" x14ac:dyDescent="0.3">
      <c r="A31" s="2" t="s">
        <v>28</v>
      </c>
      <c r="B31" s="2" t="s">
        <v>15</v>
      </c>
      <c r="C31" s="2" t="s">
        <v>16</v>
      </c>
      <c r="D31" s="2">
        <v>2000</v>
      </c>
      <c r="E31" s="2">
        <v>2100</v>
      </c>
      <c r="F31" s="2">
        <f t="shared" si="0"/>
        <v>100</v>
      </c>
      <c r="G31" s="2" t="str">
        <f t="shared" si="1"/>
        <v>Over Budget</v>
      </c>
      <c r="H31" t="str">
        <f t="shared" si="2"/>
        <v>Need to Reduce Expense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- Budget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saurabh sonawane</cp:lastModifiedBy>
  <dcterms:created xsi:type="dcterms:W3CDTF">2015-06-05T18:17:20Z</dcterms:created>
  <dcterms:modified xsi:type="dcterms:W3CDTF">2025-10-27T09:00:06Z</dcterms:modified>
</cp:coreProperties>
</file>