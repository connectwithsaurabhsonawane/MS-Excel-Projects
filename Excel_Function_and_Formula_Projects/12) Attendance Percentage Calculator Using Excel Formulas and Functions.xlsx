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97868236-D949-4C28-B050-80B3C7232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Attendan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L9" i="1"/>
  <c r="L8" i="1"/>
  <c r="M4" i="1"/>
  <c r="L4" i="1"/>
  <c r="K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<sst xmlns="http://schemas.openxmlformats.org/spreadsheetml/2006/main" count="46" uniqueCount="46">
  <si>
    <t>Roll No</t>
  </si>
  <si>
    <t>Name</t>
  </si>
  <si>
    <t>Total Working Days</t>
  </si>
  <si>
    <t>Present Days</t>
  </si>
  <si>
    <t>Absent Days</t>
  </si>
  <si>
    <t>Attendance %</t>
  </si>
  <si>
    <t>Status</t>
  </si>
  <si>
    <t>Remarks</t>
  </si>
  <si>
    <t>Aditi Sharma</t>
  </si>
  <si>
    <t>Rahul Mehta</t>
  </si>
  <si>
    <t>Sneha Patil</t>
  </si>
  <si>
    <t>Arjun Rao</t>
  </si>
  <si>
    <t>Priya Nair</t>
  </si>
  <si>
    <t>Karan Singh</t>
  </si>
  <si>
    <t>Neha Gupta</t>
  </si>
  <si>
    <t>Aman Verma</t>
  </si>
  <si>
    <t>Riya Das</t>
  </si>
  <si>
    <t>Abhay Patil</t>
  </si>
  <si>
    <t>Shreya Jadhav</t>
  </si>
  <si>
    <t>Defaulter</t>
  </si>
  <si>
    <t>Regular</t>
  </si>
  <si>
    <t>Vikas Joshi</t>
  </si>
  <si>
    <t>Simran Kaur</t>
  </si>
  <si>
    <t>Rohit Sharma</t>
  </si>
  <si>
    <t>Ananya Iyer</t>
  </si>
  <si>
    <t>Deepak Yadav</t>
  </si>
  <si>
    <t>Sonal Jain</t>
  </si>
  <si>
    <t>Nikhil Bansal</t>
  </si>
  <si>
    <t>Pooja Mishra</t>
  </si>
  <si>
    <t>Vivek Desai</t>
  </si>
  <si>
    <t>Kriti Sen</t>
  </si>
  <si>
    <t>Harsh Goel</t>
  </si>
  <si>
    <t>Tanvi Patel</t>
  </si>
  <si>
    <t>Raj Malhotra</t>
  </si>
  <si>
    <t>Divya Nair</t>
  </si>
  <si>
    <t>Sameer Khan</t>
  </si>
  <si>
    <t>Snehal Pawar</t>
  </si>
  <si>
    <t>Aditya Roy</t>
  </si>
  <si>
    <t>Manisha Das</t>
  </si>
  <si>
    <t>Ankit Tiwari</t>
  </si>
  <si>
    <t>Average Attendance</t>
  </si>
  <si>
    <t>Max Attendance</t>
  </si>
  <si>
    <t>Min Attendance</t>
  </si>
  <si>
    <t>REMARKS</t>
  </si>
  <si>
    <t>COUNT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</si>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</sst>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2" fontId="0" fillId="0" borderId="1" xfId="0" applyNumberFormat="1" applyBorder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L16" sqref="L16"/>
    </sheetView>
  </sheetViews>
  <sheetFormatPr defaultRowHeight="14.4" x14ac:dyDescent="0.3"/>
  <cols>
    <col min="1" max="1" width="7" bestFit="1" customWidth="1"/>
    <col min="2" max="2" width="12.44140625" bestFit="1" customWidth="1"/>
    <col min="3" max="3" width="17.44140625" bestFit="1" customWidth="1"/>
    <col min="4" max="4" width="11.77734375" bestFit="1" customWidth="1"/>
    <col min="5" max="5" width="11.33203125" bestFit="1" customWidth="1"/>
    <col min="6" max="6" width="12.6640625" bestFit="1" customWidth="1"/>
    <col min="7" max="7" width="8.33203125" bestFit="1" customWidth="1"/>
    <col min="8" max="8" width="8.6640625" bestFit="1" customWidth="1"/>
    <col min="9" max="9" width="6.21875" bestFit="1" customWidth="1"/>
    <col min="11" max="11" width="17.5546875" bestFit="1" customWidth="1"/>
    <col min="12" max="12" width="14.44140625" bestFit="1" customWidth="1"/>
    <col min="13" max="13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45</v>
      </c>
    </row>
    <row r="2" spans="1:13" x14ac:dyDescent="0.3">
      <c r="A2" s="2">
        <v>1</v>
      </c>
      <c r="B2" s="2" t="s">
        <v>8</v>
      </c>
      <c r="C2" s="2">
        <v>20</v>
      </c>
      <c r="D2" s="2">
        <v>14</v>
      </c>
      <c r="E2" s="2">
        <f>C2-D2</f>
        <v>6</v>
      </c>
      <c r="F2" s="2">
        <f>(D2/C2)*100</f>
        <v>70</v>
      </c>
      <c r="G2" s="2" t="str">
        <f>IF(F2&gt;=90,"Excellent",IF(F2&gt;=75,"Good",IF(F2&gt;=60,"Average","Poor")))</f>
        <v>Average</v>
      </c>
      <c r="H2" s="2" t="str">
        <f>IF(F2&lt;75,"Defaulter","Regular")</f>
        <v>Defaulter</v>
      </c>
      <c r="I2" s="2" t="str">
        <f>IF(F2&gt;=90,"A+",IF(F2&gt;=80,"A",IF(F2&gt;=70,"B",IF(F2&gt;=60,"C","D"))))</f>
        <v>B</v>
      </c>
    </row>
    <row r="3" spans="1:13" x14ac:dyDescent="0.3">
      <c r="A3" s="2">
        <v>2</v>
      </c>
      <c r="B3" s="2" t="s">
        <v>9</v>
      </c>
      <c r="C3" s="2">
        <v>20</v>
      </c>
      <c r="D3" s="2">
        <v>13</v>
      </c>
      <c r="E3" s="2">
        <f t="shared" ref="E3:E31" si="0">C3-D3</f>
        <v>7</v>
      </c>
      <c r="F3" s="2">
        <f t="shared" ref="F3:F31" si="1">(D3/C3)*100</f>
        <v>65</v>
      </c>
      <c r="G3" s="2" t="str">
        <f t="shared" ref="G3:G31" si="2">IF(F3&gt;=90,"Excellent",IF(F3&gt;=75,"Good",IF(F3&gt;=60,"Average","Poor")))</f>
        <v>Average</v>
      </c>
      <c r="H3" s="2" t="str">
        <f t="shared" ref="H3:H31" si="3">IF(F3&lt;75,"Defaulter","Regular")</f>
        <v>Defaulter</v>
      </c>
      <c r="I3" s="2" t="str">
        <f t="shared" ref="I3:I31" si="4">IF(F3&gt;=90,"A+",IF(F3&gt;=80,"A",IF(F3&gt;=70,"B",IF(F3&gt;=60,"C","D"))))</f>
        <v>C</v>
      </c>
      <c r="K3" s="2" t="s">
        <v>40</v>
      </c>
      <c r="L3" s="2" t="s">
        <v>41</v>
      </c>
      <c r="M3" s="2" t="s">
        <v>42</v>
      </c>
    </row>
    <row r="4" spans="1:13" x14ac:dyDescent="0.3">
      <c r="A4" s="2">
        <v>3</v>
      </c>
      <c r="B4" s="2" t="s">
        <v>10</v>
      </c>
      <c r="C4" s="2">
        <v>20</v>
      </c>
      <c r="D4" s="2">
        <v>8</v>
      </c>
      <c r="E4" s="2">
        <f t="shared" si="0"/>
        <v>12</v>
      </c>
      <c r="F4" s="2">
        <f t="shared" si="1"/>
        <v>40</v>
      </c>
      <c r="G4" s="2" t="str">
        <f t="shared" si="2"/>
        <v>Poor</v>
      </c>
      <c r="H4" s="2" t="str">
        <f t="shared" si="3"/>
        <v>Defaulter</v>
      </c>
      <c r="I4" s="2" t="str">
        <f t="shared" si="4"/>
        <v>D</v>
      </c>
      <c r="K4" s="4">
        <f>AVERAGE(F2:F31)</f>
        <v>70.166666666666671</v>
      </c>
      <c r="L4" s="2">
        <f>MAX(F2:F31)</f>
        <v>100</v>
      </c>
      <c r="M4" s="2">
        <f>MIN(F2:F31)</f>
        <v>40</v>
      </c>
    </row>
    <row r="5" spans="1:13" x14ac:dyDescent="0.3">
      <c r="A5" s="2">
        <v>4</v>
      </c>
      <c r="B5" s="2" t="s">
        <v>11</v>
      </c>
      <c r="C5" s="2">
        <v>20</v>
      </c>
      <c r="D5" s="2">
        <v>18</v>
      </c>
      <c r="E5" s="2">
        <f t="shared" si="0"/>
        <v>2</v>
      </c>
      <c r="F5" s="2">
        <f t="shared" si="1"/>
        <v>90</v>
      </c>
      <c r="G5" s="2" t="str">
        <f t="shared" si="2"/>
        <v>Excellent</v>
      </c>
      <c r="H5" s="2" t="str">
        <f t="shared" si="3"/>
        <v>Regular</v>
      </c>
      <c r="I5" s="2" t="str">
        <f t="shared" si="4"/>
        <v>A+</v>
      </c>
    </row>
    <row r="6" spans="1:13" x14ac:dyDescent="0.3">
      <c r="A6" s="2">
        <v>5</v>
      </c>
      <c r="B6" s="2" t="s">
        <v>12</v>
      </c>
      <c r="C6" s="2">
        <v>20</v>
      </c>
      <c r="D6" s="2">
        <v>16</v>
      </c>
      <c r="E6" s="2">
        <f t="shared" si="0"/>
        <v>4</v>
      </c>
      <c r="F6" s="2">
        <f t="shared" si="1"/>
        <v>80</v>
      </c>
      <c r="G6" s="2" t="str">
        <f t="shared" si="2"/>
        <v>Good</v>
      </c>
      <c r="H6" s="2" t="str">
        <f t="shared" si="3"/>
        <v>Regular</v>
      </c>
      <c r="I6" s="2" t="str">
        <f t="shared" si="4"/>
        <v>A</v>
      </c>
    </row>
    <row r="7" spans="1:13" x14ac:dyDescent="0.3">
      <c r="A7" s="2">
        <v>6</v>
      </c>
      <c r="B7" s="2" t="s">
        <v>13</v>
      </c>
      <c r="C7" s="2">
        <v>20</v>
      </c>
      <c r="D7" s="2">
        <v>10</v>
      </c>
      <c r="E7" s="2">
        <f t="shared" si="0"/>
        <v>10</v>
      </c>
      <c r="F7" s="2">
        <f t="shared" si="1"/>
        <v>50</v>
      </c>
      <c r="G7" s="2" t="str">
        <f t="shared" si="2"/>
        <v>Poor</v>
      </c>
      <c r="H7" s="2" t="str">
        <f t="shared" si="3"/>
        <v>Defaulter</v>
      </c>
      <c r="I7" s="2" t="str">
        <f t="shared" si="4"/>
        <v>D</v>
      </c>
      <c r="K7" s="2" t="s">
        <v>43</v>
      </c>
      <c r="L7" s="2" t="s">
        <v>44</v>
      </c>
    </row>
    <row r="8" spans="1:13" x14ac:dyDescent="0.3">
      <c r="A8" s="2">
        <v>7</v>
      </c>
      <c r="B8" s="2" t="s">
        <v>14</v>
      </c>
      <c r="C8" s="2">
        <v>20</v>
      </c>
      <c r="D8" s="2">
        <v>9</v>
      </c>
      <c r="E8" s="2">
        <f t="shared" si="0"/>
        <v>11</v>
      </c>
      <c r="F8" s="2">
        <f t="shared" si="1"/>
        <v>45</v>
      </c>
      <c r="G8" s="2" t="str">
        <f t="shared" si="2"/>
        <v>Poor</v>
      </c>
      <c r="H8" s="2" t="str">
        <f t="shared" si="3"/>
        <v>Defaulter</v>
      </c>
      <c r="I8" s="2" t="str">
        <f t="shared" si="4"/>
        <v>D</v>
      </c>
      <c r="K8" s="2" t="s">
        <v>19</v>
      </c>
      <c r="L8" s="2">
        <f>COUNTIF(H2:$H$31,$K8)</f>
        <v>17</v>
      </c>
    </row>
    <row r="9" spans="1:13" x14ac:dyDescent="0.3">
      <c r="A9" s="2">
        <v>8</v>
      </c>
      <c r="B9" s="2" t="s">
        <v>15</v>
      </c>
      <c r="C9" s="2">
        <v>20</v>
      </c>
      <c r="D9" s="2">
        <v>16</v>
      </c>
      <c r="E9" s="2">
        <f t="shared" si="0"/>
        <v>4</v>
      </c>
      <c r="F9" s="2">
        <f t="shared" si="1"/>
        <v>80</v>
      </c>
      <c r="G9" s="2" t="str">
        <f t="shared" si="2"/>
        <v>Good</v>
      </c>
      <c r="H9" s="2" t="str">
        <f t="shared" si="3"/>
        <v>Regular</v>
      </c>
      <c r="I9" s="2" t="str">
        <f t="shared" si="4"/>
        <v>A</v>
      </c>
      <c r="K9" s="2" t="s">
        <v>20</v>
      </c>
      <c r="L9" s="2">
        <f>COUNTIF(H3:$H$31,$K9)</f>
        <v>13</v>
      </c>
    </row>
    <row r="10" spans="1:13" x14ac:dyDescent="0.3">
      <c r="A10" s="2">
        <v>9</v>
      </c>
      <c r="B10" s="2" t="s">
        <v>16</v>
      </c>
      <c r="C10" s="2">
        <v>20</v>
      </c>
      <c r="D10" s="2">
        <v>18</v>
      </c>
      <c r="E10" s="2">
        <f t="shared" si="0"/>
        <v>2</v>
      </c>
      <c r="F10" s="2">
        <f t="shared" si="1"/>
        <v>90</v>
      </c>
      <c r="G10" s="2" t="str">
        <f t="shared" si="2"/>
        <v>Excellent</v>
      </c>
      <c r="H10" s="2" t="str">
        <f t="shared" si="3"/>
        <v>Regular</v>
      </c>
      <c r="I10" s="2" t="str">
        <f t="shared" si="4"/>
        <v>A+</v>
      </c>
    </row>
    <row r="11" spans="1:13" x14ac:dyDescent="0.3">
      <c r="A11" s="2">
        <v>10</v>
      </c>
      <c r="B11" s="2" t="s">
        <v>17</v>
      </c>
      <c r="C11" s="2">
        <v>20</v>
      </c>
      <c r="D11" s="2">
        <v>15</v>
      </c>
      <c r="E11" s="2">
        <f t="shared" si="0"/>
        <v>5</v>
      </c>
      <c r="F11" s="2">
        <f t="shared" si="1"/>
        <v>75</v>
      </c>
      <c r="G11" s="2" t="str">
        <f t="shared" si="2"/>
        <v>Good</v>
      </c>
      <c r="H11" s="2" t="str">
        <f t="shared" si="3"/>
        <v>Regular</v>
      </c>
      <c r="I11" s="2" t="str">
        <f t="shared" si="4"/>
        <v>B</v>
      </c>
    </row>
    <row r="12" spans="1:13" x14ac:dyDescent="0.3">
      <c r="A12" s="2">
        <v>11</v>
      </c>
      <c r="B12" s="2" t="s">
        <v>21</v>
      </c>
      <c r="C12" s="2">
        <v>20</v>
      </c>
      <c r="D12" s="2">
        <v>13</v>
      </c>
      <c r="E12" s="2">
        <f t="shared" si="0"/>
        <v>7</v>
      </c>
      <c r="F12" s="2">
        <f t="shared" si="1"/>
        <v>65</v>
      </c>
      <c r="G12" s="2" t="str">
        <f t="shared" si="2"/>
        <v>Average</v>
      </c>
      <c r="H12" s="2" t="str">
        <f t="shared" si="3"/>
        <v>Defaulter</v>
      </c>
      <c r="I12" s="2" t="str">
        <f t="shared" si="4"/>
        <v>C</v>
      </c>
    </row>
    <row r="13" spans="1:13" x14ac:dyDescent="0.3">
      <c r="A13" s="2">
        <v>12</v>
      </c>
      <c r="B13" s="2" t="s">
        <v>22</v>
      </c>
      <c r="C13" s="2">
        <v>20</v>
      </c>
      <c r="D13" s="2">
        <v>20</v>
      </c>
      <c r="E13" s="2">
        <f t="shared" si="0"/>
        <v>0</v>
      </c>
      <c r="F13" s="2">
        <f t="shared" si="1"/>
        <v>100</v>
      </c>
      <c r="G13" s="2" t="str">
        <f t="shared" si="2"/>
        <v>Excellent</v>
      </c>
      <c r="H13" s="2" t="str">
        <f t="shared" si="3"/>
        <v>Regular</v>
      </c>
      <c r="I13" s="2" t="str">
        <f t="shared" si="4"/>
        <v>A+</v>
      </c>
    </row>
    <row r="14" spans="1:13" x14ac:dyDescent="0.3">
      <c r="A14" s="2">
        <v>13</v>
      </c>
      <c r="B14" s="2" t="s">
        <v>23</v>
      </c>
      <c r="C14" s="2">
        <v>20</v>
      </c>
      <c r="D14" s="2">
        <v>12</v>
      </c>
      <c r="E14" s="2">
        <f t="shared" si="0"/>
        <v>8</v>
      </c>
      <c r="F14" s="2">
        <f t="shared" si="1"/>
        <v>60</v>
      </c>
      <c r="G14" s="2" t="str">
        <f t="shared" si="2"/>
        <v>Average</v>
      </c>
      <c r="H14" s="2" t="str">
        <f t="shared" si="3"/>
        <v>Defaulter</v>
      </c>
      <c r="I14" s="2" t="str">
        <f t="shared" si="4"/>
        <v>C</v>
      </c>
    </row>
    <row r="15" spans="1:13" x14ac:dyDescent="0.3">
      <c r="A15" s="2">
        <v>14</v>
      </c>
      <c r="B15" s="2" t="s">
        <v>24</v>
      </c>
      <c r="C15" s="2">
        <v>20</v>
      </c>
      <c r="D15" s="2">
        <v>8</v>
      </c>
      <c r="E15" s="2">
        <f t="shared" si="0"/>
        <v>12</v>
      </c>
      <c r="F15" s="2">
        <f t="shared" si="1"/>
        <v>40</v>
      </c>
      <c r="G15" s="2" t="str">
        <f t="shared" si="2"/>
        <v>Poor</v>
      </c>
      <c r="H15" s="2" t="str">
        <f t="shared" si="3"/>
        <v>Defaulter</v>
      </c>
      <c r="I15" s="2" t="str">
        <f t="shared" si="4"/>
        <v>D</v>
      </c>
    </row>
    <row r="16" spans="1:13" x14ac:dyDescent="0.3">
      <c r="A16" s="2">
        <v>15</v>
      </c>
      <c r="B16" s="2" t="s">
        <v>25</v>
      </c>
      <c r="C16" s="2">
        <v>20</v>
      </c>
      <c r="D16" s="2">
        <v>18</v>
      </c>
      <c r="E16" s="2">
        <f t="shared" si="0"/>
        <v>2</v>
      </c>
      <c r="F16" s="2">
        <f t="shared" si="1"/>
        <v>90</v>
      </c>
      <c r="G16" s="2" t="str">
        <f t="shared" si="2"/>
        <v>Excellent</v>
      </c>
      <c r="H16" s="2" t="str">
        <f t="shared" si="3"/>
        <v>Regular</v>
      </c>
      <c r="I16" s="2" t="str">
        <f t="shared" si="4"/>
        <v>A+</v>
      </c>
    </row>
    <row r="17" spans="1:9" x14ac:dyDescent="0.3">
      <c r="A17" s="2">
        <v>16</v>
      </c>
      <c r="B17" s="2" t="s">
        <v>26</v>
      </c>
      <c r="C17" s="2">
        <v>20</v>
      </c>
      <c r="D17" s="2">
        <v>9</v>
      </c>
      <c r="E17" s="2">
        <f t="shared" si="0"/>
        <v>11</v>
      </c>
      <c r="F17" s="2">
        <f t="shared" si="1"/>
        <v>45</v>
      </c>
      <c r="G17" s="2" t="str">
        <f t="shared" si="2"/>
        <v>Poor</v>
      </c>
      <c r="H17" s="2" t="str">
        <f t="shared" si="3"/>
        <v>Defaulter</v>
      </c>
      <c r="I17" s="2" t="str">
        <f t="shared" si="4"/>
        <v>D</v>
      </c>
    </row>
    <row r="18" spans="1:9" x14ac:dyDescent="0.3">
      <c r="A18" s="2">
        <v>17</v>
      </c>
      <c r="B18" s="2" t="s">
        <v>27</v>
      </c>
      <c r="C18" s="2">
        <v>20</v>
      </c>
      <c r="D18" s="2">
        <v>10</v>
      </c>
      <c r="E18" s="2">
        <f t="shared" si="0"/>
        <v>10</v>
      </c>
      <c r="F18" s="2">
        <f t="shared" si="1"/>
        <v>50</v>
      </c>
      <c r="G18" s="2" t="str">
        <f t="shared" si="2"/>
        <v>Poor</v>
      </c>
      <c r="H18" s="2" t="str">
        <f t="shared" si="3"/>
        <v>Defaulter</v>
      </c>
      <c r="I18" s="2" t="str">
        <f t="shared" si="4"/>
        <v>D</v>
      </c>
    </row>
    <row r="19" spans="1:9" x14ac:dyDescent="0.3">
      <c r="A19" s="2">
        <v>18</v>
      </c>
      <c r="B19" s="2" t="s">
        <v>28</v>
      </c>
      <c r="C19" s="2">
        <v>20</v>
      </c>
      <c r="D19" s="2">
        <v>16</v>
      </c>
      <c r="E19" s="2">
        <f t="shared" si="0"/>
        <v>4</v>
      </c>
      <c r="F19" s="2">
        <f t="shared" si="1"/>
        <v>80</v>
      </c>
      <c r="G19" s="2" t="str">
        <f t="shared" si="2"/>
        <v>Good</v>
      </c>
      <c r="H19" s="2" t="str">
        <f t="shared" si="3"/>
        <v>Regular</v>
      </c>
      <c r="I19" s="2" t="str">
        <f t="shared" si="4"/>
        <v>A</v>
      </c>
    </row>
    <row r="20" spans="1:9" x14ac:dyDescent="0.3">
      <c r="A20" s="2">
        <v>19</v>
      </c>
      <c r="B20" s="2" t="s">
        <v>29</v>
      </c>
      <c r="C20" s="2">
        <v>20</v>
      </c>
      <c r="D20" s="2">
        <v>12</v>
      </c>
      <c r="E20" s="2">
        <f t="shared" si="0"/>
        <v>8</v>
      </c>
      <c r="F20" s="2">
        <f t="shared" si="1"/>
        <v>60</v>
      </c>
      <c r="G20" s="2" t="str">
        <f t="shared" si="2"/>
        <v>Average</v>
      </c>
      <c r="H20" s="2" t="str">
        <f t="shared" si="3"/>
        <v>Defaulter</v>
      </c>
      <c r="I20" s="2" t="str">
        <f t="shared" si="4"/>
        <v>C</v>
      </c>
    </row>
    <row r="21" spans="1:9" x14ac:dyDescent="0.3">
      <c r="A21" s="2">
        <v>20</v>
      </c>
      <c r="B21" s="2" t="s">
        <v>30</v>
      </c>
      <c r="C21" s="2">
        <v>20</v>
      </c>
      <c r="D21" s="2">
        <v>16</v>
      </c>
      <c r="E21" s="2">
        <f t="shared" si="0"/>
        <v>4</v>
      </c>
      <c r="F21" s="2">
        <f t="shared" si="1"/>
        <v>80</v>
      </c>
      <c r="G21" s="2" t="str">
        <f t="shared" si="2"/>
        <v>Good</v>
      </c>
      <c r="H21" s="2" t="str">
        <f t="shared" si="3"/>
        <v>Regular</v>
      </c>
      <c r="I21" s="2" t="str">
        <f t="shared" si="4"/>
        <v>A</v>
      </c>
    </row>
    <row r="22" spans="1:9" x14ac:dyDescent="0.3">
      <c r="A22" s="2">
        <v>21</v>
      </c>
      <c r="B22" s="2" t="s">
        <v>31</v>
      </c>
      <c r="C22" s="2">
        <v>20</v>
      </c>
      <c r="D22" s="2">
        <v>12</v>
      </c>
      <c r="E22" s="2">
        <f t="shared" si="0"/>
        <v>8</v>
      </c>
      <c r="F22" s="2">
        <f t="shared" si="1"/>
        <v>60</v>
      </c>
      <c r="G22" s="2" t="str">
        <f t="shared" si="2"/>
        <v>Average</v>
      </c>
      <c r="H22" s="2" t="str">
        <f t="shared" si="3"/>
        <v>Defaulter</v>
      </c>
      <c r="I22" s="2" t="str">
        <f t="shared" si="4"/>
        <v>C</v>
      </c>
    </row>
    <row r="23" spans="1:9" x14ac:dyDescent="0.3">
      <c r="A23" s="2">
        <v>22</v>
      </c>
      <c r="B23" s="2" t="s">
        <v>32</v>
      </c>
      <c r="C23" s="2">
        <v>20</v>
      </c>
      <c r="D23" s="2">
        <v>20</v>
      </c>
      <c r="E23" s="2">
        <f t="shared" si="0"/>
        <v>0</v>
      </c>
      <c r="F23" s="2">
        <f t="shared" si="1"/>
        <v>100</v>
      </c>
      <c r="G23" s="2" t="str">
        <f t="shared" si="2"/>
        <v>Excellent</v>
      </c>
      <c r="H23" s="2" t="str">
        <f t="shared" si="3"/>
        <v>Regular</v>
      </c>
      <c r="I23" s="2" t="str">
        <f t="shared" si="4"/>
        <v>A+</v>
      </c>
    </row>
    <row r="24" spans="1:9" x14ac:dyDescent="0.3">
      <c r="A24" s="2">
        <v>23</v>
      </c>
      <c r="B24" s="2" t="s">
        <v>33</v>
      </c>
      <c r="C24" s="2">
        <v>20</v>
      </c>
      <c r="D24" s="2">
        <v>13</v>
      </c>
      <c r="E24" s="2">
        <f t="shared" si="0"/>
        <v>7</v>
      </c>
      <c r="F24" s="2">
        <f t="shared" si="1"/>
        <v>65</v>
      </c>
      <c r="G24" s="2" t="str">
        <f t="shared" si="2"/>
        <v>Average</v>
      </c>
      <c r="H24" s="2" t="str">
        <f t="shared" si="3"/>
        <v>Defaulter</v>
      </c>
      <c r="I24" s="2" t="str">
        <f t="shared" si="4"/>
        <v>C</v>
      </c>
    </row>
    <row r="25" spans="1:9" x14ac:dyDescent="0.3">
      <c r="A25" s="2">
        <v>24</v>
      </c>
      <c r="B25" s="2" t="s">
        <v>34</v>
      </c>
      <c r="C25" s="2">
        <v>20</v>
      </c>
      <c r="D25" s="2">
        <v>12</v>
      </c>
      <c r="E25" s="2">
        <f t="shared" si="0"/>
        <v>8</v>
      </c>
      <c r="F25" s="2">
        <f t="shared" si="1"/>
        <v>60</v>
      </c>
      <c r="G25" s="2" t="str">
        <f t="shared" si="2"/>
        <v>Average</v>
      </c>
      <c r="H25" s="2" t="str">
        <f t="shared" si="3"/>
        <v>Defaulter</v>
      </c>
      <c r="I25" s="2" t="str">
        <f t="shared" si="4"/>
        <v>C</v>
      </c>
    </row>
    <row r="26" spans="1:9" x14ac:dyDescent="0.3">
      <c r="A26" s="2">
        <v>25</v>
      </c>
      <c r="B26" s="2" t="s">
        <v>35</v>
      </c>
      <c r="C26" s="2">
        <v>20</v>
      </c>
      <c r="D26" s="2">
        <v>20</v>
      </c>
      <c r="E26" s="2">
        <f t="shared" si="0"/>
        <v>0</v>
      </c>
      <c r="F26" s="2">
        <f t="shared" si="1"/>
        <v>100</v>
      </c>
      <c r="G26" s="2" t="str">
        <f t="shared" si="2"/>
        <v>Excellent</v>
      </c>
      <c r="H26" s="2" t="str">
        <f t="shared" si="3"/>
        <v>Regular</v>
      </c>
      <c r="I26" s="2" t="str">
        <f t="shared" si="4"/>
        <v>A+</v>
      </c>
    </row>
    <row r="27" spans="1:9" x14ac:dyDescent="0.3">
      <c r="A27" s="2">
        <v>26</v>
      </c>
      <c r="B27" s="2" t="s">
        <v>36</v>
      </c>
      <c r="C27" s="2">
        <v>20</v>
      </c>
      <c r="D27" s="2">
        <v>15</v>
      </c>
      <c r="E27" s="2">
        <f t="shared" si="0"/>
        <v>5</v>
      </c>
      <c r="F27" s="2">
        <f t="shared" si="1"/>
        <v>75</v>
      </c>
      <c r="G27" s="2" t="str">
        <f t="shared" si="2"/>
        <v>Good</v>
      </c>
      <c r="H27" s="2" t="str">
        <f t="shared" si="3"/>
        <v>Regular</v>
      </c>
      <c r="I27" s="2" t="str">
        <f t="shared" si="4"/>
        <v>B</v>
      </c>
    </row>
    <row r="28" spans="1:9" x14ac:dyDescent="0.3">
      <c r="A28" s="2">
        <v>27</v>
      </c>
      <c r="B28" s="2" t="s">
        <v>37</v>
      </c>
      <c r="C28" s="2">
        <v>20</v>
      </c>
      <c r="D28" s="2">
        <v>19</v>
      </c>
      <c r="E28" s="2">
        <f t="shared" si="0"/>
        <v>1</v>
      </c>
      <c r="F28" s="2">
        <f t="shared" si="1"/>
        <v>95</v>
      </c>
      <c r="G28" s="2" t="str">
        <f t="shared" si="2"/>
        <v>Excellent</v>
      </c>
      <c r="H28" s="2" t="str">
        <f t="shared" si="3"/>
        <v>Regular</v>
      </c>
      <c r="I28" s="2" t="str">
        <f t="shared" si="4"/>
        <v>A+</v>
      </c>
    </row>
    <row r="29" spans="1:9" x14ac:dyDescent="0.3">
      <c r="A29" s="2">
        <v>28</v>
      </c>
      <c r="B29" s="2" t="s">
        <v>38</v>
      </c>
      <c r="C29" s="2">
        <v>20</v>
      </c>
      <c r="D29" s="2">
        <v>13</v>
      </c>
      <c r="E29" s="2">
        <f t="shared" si="0"/>
        <v>7</v>
      </c>
      <c r="F29" s="2">
        <f t="shared" si="1"/>
        <v>65</v>
      </c>
      <c r="G29" s="2" t="str">
        <f t="shared" si="2"/>
        <v>Average</v>
      </c>
      <c r="H29" s="2" t="str">
        <f t="shared" si="3"/>
        <v>Defaulter</v>
      </c>
      <c r="I29" s="2" t="str">
        <f t="shared" si="4"/>
        <v>C</v>
      </c>
    </row>
    <row r="30" spans="1:9" x14ac:dyDescent="0.3">
      <c r="A30" s="2">
        <v>29</v>
      </c>
      <c r="B30" s="2" t="s">
        <v>39</v>
      </c>
      <c r="C30" s="2">
        <v>20</v>
      </c>
      <c r="D30" s="2">
        <v>12</v>
      </c>
      <c r="E30" s="2">
        <f t="shared" si="0"/>
        <v>8</v>
      </c>
      <c r="F30" s="2">
        <f t="shared" si="1"/>
        <v>60</v>
      </c>
      <c r="G30" s="2" t="str">
        <f t="shared" si="2"/>
        <v>Average</v>
      </c>
      <c r="H30" s="2" t="str">
        <f t="shared" si="3"/>
        <v>Defaulter</v>
      </c>
      <c r="I30" s="2" t="str">
        <f t="shared" si="4"/>
        <v>C</v>
      </c>
    </row>
    <row r="31" spans="1:9" x14ac:dyDescent="0.3">
      <c r="A31" s="2">
        <v>30</v>
      </c>
      <c r="B31" s="2" t="s">
        <v>18</v>
      </c>
      <c r="C31" s="2">
        <v>20</v>
      </c>
      <c r="D31" s="2">
        <v>14</v>
      </c>
      <c r="E31" s="2">
        <f t="shared" si="0"/>
        <v>6</v>
      </c>
      <c r="F31" s="2">
        <f t="shared" si="1"/>
        <v>70</v>
      </c>
      <c r="G31" s="2" t="str">
        <f t="shared" si="2"/>
        <v>Average</v>
      </c>
      <c r="H31" s="2" t="str">
        <f t="shared" si="3"/>
        <v>Defaulter</v>
      </c>
      <c r="I31" s="2" t="str">
        <f t="shared" si="4"/>
        <v>B</v>
      </c>
    </row>
  </sheetData>
  <conditionalFormatting sqref="A1:I31">
    <cfRule type="expression" dxfId="1" priority="1">
      <formula>$G1="Poor"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Attendance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2025-10-27T08:20:36Z</dcterms:modified>
</cp:coreProperties>
</file>