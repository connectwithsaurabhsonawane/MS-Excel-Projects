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078718F2-69F8-4A59-AE80-F70953181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Class 10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K3" i="1"/>
  <c r="K4" i="1"/>
  <c r="K5" i="1"/>
  <c r="K6" i="1"/>
  <c r="O6" i="1" s="1"/>
  <c r="Q6" i="1" s="1" a="1"/>
  <c r="Q6" i="1" s="1"/>
  <c r="K7" i="1"/>
  <c r="O7" i="1" s="1"/>
  <c r="Q7" i="1" s="1" a="1"/>
  <c r="Q7" i="1" s="1"/>
  <c r="K8" i="1"/>
  <c r="O8" i="1" s="1"/>
  <c r="Q8" i="1" s="1" a="1"/>
  <c r="Q8" i="1" s="1"/>
  <c r="K9" i="1"/>
  <c r="O9" i="1" s="1"/>
  <c r="Q9" i="1" s="1" a="1"/>
  <c r="Q9" i="1" s="1"/>
  <c r="K10" i="1"/>
  <c r="O10" i="1" s="1"/>
  <c r="Q10" i="1" s="1" a="1"/>
  <c r="Q10" i="1" s="1"/>
  <c r="K11" i="1"/>
  <c r="K12" i="1"/>
  <c r="K13" i="1"/>
  <c r="K14" i="1"/>
  <c r="O14" i="1" s="1"/>
  <c r="Q14" i="1" s="1" a="1"/>
  <c r="Q14" i="1" s="1"/>
  <c r="K15" i="1"/>
  <c r="O15" i="1" s="1"/>
  <c r="Q15" i="1" s="1" a="1"/>
  <c r="Q15" i="1" s="1"/>
  <c r="K16" i="1"/>
  <c r="O16" i="1" s="1"/>
  <c r="Q16" i="1" s="1" a="1"/>
  <c r="Q16" i="1" s="1"/>
  <c r="K17" i="1"/>
  <c r="O17" i="1" s="1"/>
  <c r="Q17" i="1" s="1" a="1"/>
  <c r="Q17" i="1" s="1"/>
  <c r="K18" i="1"/>
  <c r="O18" i="1" s="1"/>
  <c r="Q18" i="1" s="1" a="1"/>
  <c r="Q18" i="1" s="1"/>
  <c r="K19" i="1"/>
  <c r="O19" i="1" s="1"/>
  <c r="Q19" i="1" s="1" a="1"/>
  <c r="Q19" i="1" s="1"/>
  <c r="K20" i="1"/>
  <c r="K21" i="1"/>
  <c r="O21" i="1" s="1"/>
  <c r="Q21" i="1" s="1" a="1"/>
  <c r="Q21" i="1" s="1"/>
  <c r="K22" i="1"/>
  <c r="O22" i="1" s="1"/>
  <c r="Q22" i="1" s="1" a="1"/>
  <c r="Q22" i="1" s="1"/>
  <c r="K23" i="1"/>
  <c r="O23" i="1" s="1"/>
  <c r="Q23" i="1" s="1" a="1"/>
  <c r="Q23" i="1" s="1"/>
  <c r="K24" i="1"/>
  <c r="O24" i="1" s="1"/>
  <c r="Q24" i="1" s="1" a="1"/>
  <c r="Q24" i="1" s="1"/>
  <c r="K25" i="1"/>
  <c r="O25" i="1" s="1"/>
  <c r="Q25" i="1" s="1" a="1"/>
  <c r="Q25" i="1" s="1"/>
  <c r="K26" i="1"/>
  <c r="O26" i="1" s="1"/>
  <c r="Q26" i="1" s="1" a="1"/>
  <c r="Q26" i="1" s="1"/>
  <c r="K27" i="1"/>
  <c r="K28" i="1"/>
  <c r="K29" i="1"/>
  <c r="K30" i="1"/>
  <c r="O30" i="1" s="1"/>
  <c r="Q30" i="1" s="1" a="1"/>
  <c r="Q30" i="1" s="1"/>
  <c r="K31" i="1"/>
  <c r="O31" i="1" s="1"/>
  <c r="Q31" i="1" s="1" a="1"/>
  <c r="Q31" i="1" s="1"/>
  <c r="K32" i="1"/>
  <c r="O32" i="1" s="1"/>
  <c r="Q32" i="1" s="1" a="1"/>
  <c r="Q32" i="1" s="1"/>
  <c r="K33" i="1"/>
  <c r="O33" i="1" s="1"/>
  <c r="Q33" i="1" s="1" a="1"/>
  <c r="Q33" i="1" s="1"/>
  <c r="K34" i="1"/>
  <c r="O34" i="1" s="1"/>
  <c r="Q34" i="1" s="1" a="1"/>
  <c r="Q34" i="1" s="1"/>
  <c r="K35" i="1"/>
  <c r="K36" i="1"/>
  <c r="K37" i="1"/>
  <c r="S37" i="1" s="1"/>
  <c r="K38" i="1"/>
  <c r="O38" i="1" s="1"/>
  <c r="Q38" i="1" s="1" a="1"/>
  <c r="Q38" i="1" s="1"/>
  <c r="K39" i="1"/>
  <c r="O39" i="1" s="1"/>
  <c r="Q39" i="1" s="1" a="1"/>
  <c r="Q39" i="1" s="1"/>
  <c r="K40" i="1"/>
  <c r="O40" i="1" s="1"/>
  <c r="Q40" i="1" s="1" a="1"/>
  <c r="Q40" i="1" s="1"/>
  <c r="K41" i="1"/>
  <c r="O41" i="1" s="1"/>
  <c r="Q41" i="1" s="1" a="1"/>
  <c r="Q41" i="1" s="1"/>
  <c r="K42" i="1"/>
  <c r="O42" i="1" s="1"/>
  <c r="Q42" i="1" s="1" a="1"/>
  <c r="Q42" i="1" s="1"/>
  <c r="K43" i="1"/>
  <c r="O43" i="1" s="1"/>
  <c r="Q43" i="1" s="1" a="1"/>
  <c r="Q43" i="1" s="1"/>
  <c r="K44" i="1"/>
  <c r="O44" i="1" s="1"/>
  <c r="Q44" i="1" s="1" a="1"/>
  <c r="Q44" i="1" s="1"/>
  <c r="K45" i="1"/>
  <c r="O45" i="1" s="1"/>
  <c r="Q45" i="1" s="1" a="1"/>
  <c r="Q45" i="1" s="1"/>
  <c r="K46" i="1"/>
  <c r="O46" i="1" s="1"/>
  <c r="Q46" i="1" s="1" a="1"/>
  <c r="Q46" i="1" s="1"/>
  <c r="K47" i="1"/>
  <c r="O47" i="1" s="1"/>
  <c r="Q47" i="1" s="1" a="1"/>
  <c r="Q47" i="1" s="1"/>
  <c r="K48" i="1"/>
  <c r="O48" i="1" s="1"/>
  <c r="Q48" i="1" s="1" a="1"/>
  <c r="Q48" i="1" s="1"/>
  <c r="K49" i="1"/>
  <c r="O49" i="1" s="1"/>
  <c r="Q49" i="1" s="1" a="1"/>
  <c r="Q49" i="1" s="1"/>
  <c r="K50" i="1"/>
  <c r="O50" i="1" s="1"/>
  <c r="Q50" i="1" s="1" a="1"/>
  <c r="Q50" i="1" s="1"/>
  <c r="K51" i="1"/>
  <c r="K2" i="1"/>
  <c r="O2" i="1" s="1"/>
  <c r="Q2" i="1" s="1" a="1"/>
  <c r="Q2" i="1" s="1"/>
  <c r="S35" i="1" l="1"/>
  <c r="S43" i="1"/>
  <c r="S36" i="1"/>
  <c r="S27" i="1"/>
  <c r="S5" i="1"/>
  <c r="S4" i="1"/>
  <c r="S13" i="1"/>
  <c r="S12" i="1"/>
  <c r="S51" i="1"/>
  <c r="S3" i="1"/>
  <c r="S29" i="1"/>
  <c r="S28" i="1"/>
  <c r="S11" i="1"/>
  <c r="S20" i="1"/>
  <c r="S19" i="1"/>
  <c r="O20" i="1"/>
  <c r="Q20" i="1" s="1" a="1"/>
  <c r="Q20" i="1" s="1"/>
  <c r="S50" i="1"/>
  <c r="S42" i="1"/>
  <c r="S34" i="1"/>
  <c r="S26" i="1"/>
  <c r="S18" i="1"/>
  <c r="S10" i="1"/>
  <c r="O37" i="1"/>
  <c r="Q37" i="1" s="1" a="1"/>
  <c r="Q37" i="1" s="1"/>
  <c r="S49" i="1"/>
  <c r="S41" i="1"/>
  <c r="S33" i="1"/>
  <c r="S25" i="1"/>
  <c r="S17" i="1"/>
  <c r="S9" i="1"/>
  <c r="O36" i="1"/>
  <c r="Q36" i="1" s="1" a="1"/>
  <c r="Q36" i="1" s="1"/>
  <c r="O13" i="1"/>
  <c r="Q13" i="1" s="1" a="1"/>
  <c r="Q13" i="1" s="1"/>
  <c r="S48" i="1"/>
  <c r="S40" i="1"/>
  <c r="S32" i="1"/>
  <c r="S24" i="1"/>
  <c r="S16" i="1"/>
  <c r="S8" i="1"/>
  <c r="O35" i="1"/>
  <c r="Q35" i="1" s="1" a="1"/>
  <c r="Q35" i="1" s="1"/>
  <c r="O12" i="1"/>
  <c r="Q12" i="1" s="1" a="1"/>
  <c r="Q12" i="1" s="1"/>
  <c r="S47" i="1"/>
  <c r="S39" i="1"/>
  <c r="S31" i="1"/>
  <c r="S23" i="1"/>
  <c r="S15" i="1"/>
  <c r="S7" i="1"/>
  <c r="O29" i="1"/>
  <c r="Q29" i="1" s="1" a="1"/>
  <c r="Q29" i="1" s="1"/>
  <c r="O11" i="1"/>
  <c r="Q11" i="1" s="1" a="1"/>
  <c r="Q11" i="1" s="1"/>
  <c r="S46" i="1"/>
  <c r="S38" i="1"/>
  <c r="S30" i="1"/>
  <c r="S22" i="1"/>
  <c r="S14" i="1"/>
  <c r="S6" i="1"/>
  <c r="O51" i="1"/>
  <c r="Q51" i="1" s="1" a="1"/>
  <c r="Q51" i="1" s="1"/>
  <c r="O28" i="1"/>
  <c r="Q28" i="1" s="1" a="1"/>
  <c r="Q28" i="1" s="1"/>
  <c r="O5" i="1"/>
  <c r="Q5" i="1" s="1" a="1"/>
  <c r="Q5" i="1" s="1"/>
  <c r="S45" i="1"/>
  <c r="S21" i="1"/>
  <c r="O27" i="1"/>
  <c r="Q27" i="1" s="1" a="1"/>
  <c r="Q27" i="1" s="1"/>
  <c r="O4" i="1"/>
  <c r="Q4" i="1" s="1" a="1"/>
  <c r="Q4" i="1" s="1"/>
  <c r="S2" i="1"/>
  <c r="S44" i="1"/>
  <c r="O3" i="1"/>
  <c r="Q3" i="1" s="1" a="1"/>
  <c r="Q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<sst xmlns="http://schemas.openxmlformats.org/spreadsheetml/2006/main" count="119" uniqueCount="70">
  <si>
    <t>Roll No</t>
  </si>
  <si>
    <t>Student Name</t>
  </si>
  <si>
    <t>Class</t>
  </si>
  <si>
    <t>Math</t>
  </si>
  <si>
    <t>Science</t>
  </si>
  <si>
    <t>English</t>
  </si>
  <si>
    <t>Computer</t>
  </si>
  <si>
    <t>Attendance (%)</t>
  </si>
  <si>
    <t>Aditi Sharma</t>
  </si>
  <si>
    <t>10A</t>
  </si>
  <si>
    <t>Raj Verma</t>
  </si>
  <si>
    <t>Neha Patil</t>
  </si>
  <si>
    <t>Rohan Singh</t>
  </si>
  <si>
    <t>Priya Nair</t>
  </si>
  <si>
    <t>Manish Gupta</t>
  </si>
  <si>
    <t>Sneha Mehta</t>
  </si>
  <si>
    <t>Aditya Rao</t>
  </si>
  <si>
    <t>Kavya Iyer</t>
  </si>
  <si>
    <t>Ankit Jain</t>
  </si>
  <si>
    <t>Deepika Joshi</t>
  </si>
  <si>
    <t>Tanmay Kale</t>
  </si>
  <si>
    <t>Pooja Deshmukh</t>
  </si>
  <si>
    <t>Aryan Khanna</t>
  </si>
  <si>
    <t>Ishika Reddy</t>
  </si>
  <si>
    <t>Abhishek Yadav</t>
  </si>
  <si>
    <t>Tanya Bhosale</t>
  </si>
  <si>
    <t>Harsh Patel</t>
  </si>
  <si>
    <t>Riya Das</t>
  </si>
  <si>
    <t>Kunal Roy</t>
  </si>
  <si>
    <t>Meera Nanda</t>
  </si>
  <si>
    <t>Gaurav Singh</t>
  </si>
  <si>
    <t>Isha Tiwari</t>
  </si>
  <si>
    <t>Nikhil Pawar</t>
  </si>
  <si>
    <t>Sakshi Goyal</t>
  </si>
  <si>
    <t>Parth Sharma</t>
  </si>
  <si>
    <t>Shruti Menon</t>
  </si>
  <si>
    <t>Rohit Kumar</t>
  </si>
  <si>
    <t>Divya Pillai</t>
  </si>
  <si>
    <t>Arjun Sinha</t>
  </si>
  <si>
    <t>Kritika Jha</t>
  </si>
  <si>
    <t>Ayush Desai</t>
  </si>
  <si>
    <t>Nisha Chauhan</t>
  </si>
  <si>
    <t>Mohit Rana</t>
  </si>
  <si>
    <t>Ananya Gaur</t>
  </si>
  <si>
    <t>Suraj Dubey</t>
  </si>
  <si>
    <t>Rachit Jain</t>
  </si>
  <si>
    <t>Mitali Shah</t>
  </si>
  <si>
    <t>Tarun Verma</t>
  </si>
  <si>
    <t>Diya Kulkarni</t>
  </si>
  <si>
    <t>Yash Naik</t>
  </si>
  <si>
    <t>Snehal Pawar</t>
  </si>
  <si>
    <t>Kiran Thakur</t>
  </si>
  <si>
    <t>Tanishq More</t>
  </si>
  <si>
    <t>Aishwarya Rao</t>
  </si>
  <si>
    <t>Omkar Patil</t>
  </si>
  <si>
    <t>Ritika Mishra</t>
  </si>
  <si>
    <t>Varun Joshi</t>
  </si>
  <si>
    <t>Payal Dey</t>
  </si>
  <si>
    <t>Adarsh Gupta</t>
  </si>
  <si>
    <t>Total Marks</t>
  </si>
  <si>
    <t>History</t>
  </si>
  <si>
    <t>Geography</t>
  </si>
  <si>
    <t>Average Subject Marks</t>
  </si>
  <si>
    <t>Percentage</t>
  </si>
  <si>
    <t>Grade</t>
  </si>
  <si>
    <t>Result</t>
  </si>
  <si>
    <t>Attendance Remark</t>
  </si>
  <si>
    <t>Rank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</si>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</sst>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  <xf numFmtId="168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workbookViewId="0">
      <selection activeCell="H16" sqref="H16"/>
    </sheetView>
  </sheetViews>
  <sheetFormatPr defaultRowHeight="14.4" x14ac:dyDescent="0.3"/>
  <cols>
    <col min="1" max="1" width="7" bestFit="1" customWidth="1"/>
    <col min="2" max="2" width="14.6640625" bestFit="1" customWidth="1"/>
    <col min="3" max="3" width="5.109375" bestFit="1" customWidth="1"/>
    <col min="4" max="4" width="5.5546875" bestFit="1" customWidth="1"/>
    <col min="5" max="5" width="7.33203125" bestFit="1" customWidth="1"/>
    <col min="6" max="6" width="6.88671875" bestFit="1" customWidth="1"/>
    <col min="7" max="7" width="9.44140625" bestFit="1" customWidth="1"/>
    <col min="8" max="8" width="9.44140625" customWidth="1"/>
    <col min="9" max="9" width="10.21875" bestFit="1" customWidth="1"/>
    <col min="10" max="10" width="14.109375" bestFit="1" customWidth="1"/>
    <col min="11" max="11" width="10.88671875" bestFit="1" customWidth="1"/>
    <col min="12" max="13" width="10.88671875" customWidth="1"/>
    <col min="14" max="14" width="20.5546875" bestFit="1" customWidth="1"/>
    <col min="15" max="15" width="10.44140625" bestFit="1" customWidth="1"/>
    <col min="16" max="16" width="10.44140625" customWidth="1"/>
    <col min="18" max="18" width="17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60</v>
      </c>
      <c r="I1" s="1" t="s">
        <v>61</v>
      </c>
      <c r="J1" s="1" t="s">
        <v>7</v>
      </c>
      <c r="K1" s="3" t="s">
        <v>59</v>
      </c>
      <c r="L1" s="3" t="s">
        <v>69</v>
      </c>
      <c r="M1" s="3" t="s">
        <v>68</v>
      </c>
      <c r="N1" s="3" t="s">
        <v>62</v>
      </c>
      <c r="O1" s="3" t="s">
        <v>63</v>
      </c>
      <c r="P1" s="3" t="s">
        <v>65</v>
      </c>
      <c r="Q1" s="3" t="s">
        <v>64</v>
      </c>
      <c r="R1" s="3" t="s">
        <v>66</v>
      </c>
      <c r="S1" s="3" t="s">
        <v>67</v>
      </c>
    </row>
    <row r="2" spans="1:19" x14ac:dyDescent="0.3">
      <c r="A2" s="2">
        <v>1</v>
      </c>
      <c r="B2" s="2" t="s">
        <v>8</v>
      </c>
      <c r="C2" s="2" t="s">
        <v>9</v>
      </c>
      <c r="D2" s="2">
        <v>89</v>
      </c>
      <c r="E2" s="2">
        <v>76</v>
      </c>
      <c r="F2" s="2">
        <v>92</v>
      </c>
      <c r="G2" s="2">
        <v>88</v>
      </c>
      <c r="H2" s="2">
        <v>57</v>
      </c>
      <c r="I2" s="2">
        <v>55</v>
      </c>
      <c r="J2" s="2">
        <v>96</v>
      </c>
      <c r="K2" s="4">
        <f>SUM(D2:I2)</f>
        <v>457</v>
      </c>
      <c r="L2" s="4">
        <f>MIN(D2:I2)</f>
        <v>55</v>
      </c>
      <c r="M2" s="4">
        <f>MAX(D2:I2)</f>
        <v>92</v>
      </c>
      <c r="N2" s="5">
        <f>AVERAGE(D2:I2)</f>
        <v>76.166666666666671</v>
      </c>
      <c r="O2" s="5">
        <f>K2/600*100</f>
        <v>76.166666666666671</v>
      </c>
      <c r="P2" s="5" t="str">
        <f>IF(AND(D2&gt;=35,E2&gt;=35,F2&gt;=35,G2&gt;=35,H2&gt;=35,I2&gt;=35),"Pass","Fail")</f>
        <v>Pass</v>
      </c>
      <c r="Q2" s="4" t="str" cm="1">
        <f t="array" ref="Q2">_xlfn.IFS(O2&gt;90,"A+",O2&gt;80,"A",O2&gt;70,"B+",O2&gt;60,"B",O2&gt;50,"C",O2&gt;40,"D")</f>
        <v>B+</v>
      </c>
      <c r="R2" s="4" t="str">
        <f>IF(J2&gt;90,"Excellent",IF(J2&gt;80,"Ver Good",IF(J2&lt;80,"Need Imporvement","Need Improvement")))</f>
        <v>Excellent</v>
      </c>
      <c r="S2" s="6">
        <f>_xlfn.RANK.AVG(K2,$K$2:$K$51,0)</f>
        <v>20.5</v>
      </c>
    </row>
    <row r="3" spans="1:19" x14ac:dyDescent="0.3">
      <c r="A3" s="2">
        <v>2</v>
      </c>
      <c r="B3" s="2" t="s">
        <v>10</v>
      </c>
      <c r="C3" s="2" t="s">
        <v>9</v>
      </c>
      <c r="D3" s="2">
        <v>54</v>
      </c>
      <c r="E3" s="2">
        <v>67</v>
      </c>
      <c r="F3" s="2">
        <v>58</v>
      </c>
      <c r="G3" s="2">
        <v>73</v>
      </c>
      <c r="H3" s="2">
        <v>60</v>
      </c>
      <c r="I3" s="2">
        <v>61</v>
      </c>
      <c r="J3" s="2">
        <v>82</v>
      </c>
      <c r="K3" s="4">
        <f t="shared" ref="K3:K51" si="0">SUM(D3:I3)</f>
        <v>373</v>
      </c>
      <c r="L3" s="4">
        <f t="shared" ref="L3:L51" si="1">MIN(D3:I3)</f>
        <v>54</v>
      </c>
      <c r="M3" s="4">
        <f t="shared" ref="M3:M51" si="2">MAX(D3:I3)</f>
        <v>73</v>
      </c>
      <c r="N3" s="5">
        <f t="shared" ref="N3:N51" si="3">AVERAGE(D3:I3)</f>
        <v>62.166666666666664</v>
      </c>
      <c r="O3" s="5">
        <f t="shared" ref="O3:O51" si="4">K3/600*100</f>
        <v>62.166666666666671</v>
      </c>
      <c r="P3" s="5" t="str">
        <f t="shared" ref="P3:P51" si="5">IF(AND(D3&gt;=35,E3&gt;=35,F3&gt;=35,G3&gt;=35,H3&gt;=35,I3&gt;=35),"Pass","Fail")</f>
        <v>Pass</v>
      </c>
      <c r="Q3" s="4" t="str" cm="1">
        <f t="array" ref="Q3">_xlfn.IFS(O3&gt;90,"A+",O3&gt;80,"A",O3&gt;70,"B+",O3&gt;60,"B",O3&gt;50,"C",O3&gt;40,"D")</f>
        <v>B</v>
      </c>
      <c r="R3" s="4" t="str">
        <f t="shared" ref="R3:R51" si="6">IF(J3&gt;90,"Excellent",IF(J3&gt;80,"Ver Good",IF(J3&lt;80,"Need Imporvement","Need Improvement")))</f>
        <v>Ver Good</v>
      </c>
      <c r="S3" s="6">
        <f t="shared" ref="S3:S51" si="7">_xlfn.RANK.AVG(K3,$K$2:$K$51,0)</f>
        <v>46.5</v>
      </c>
    </row>
    <row r="4" spans="1:19" x14ac:dyDescent="0.3">
      <c r="A4" s="2">
        <v>3</v>
      </c>
      <c r="B4" s="2" t="s">
        <v>11</v>
      </c>
      <c r="C4" s="2" t="s">
        <v>9</v>
      </c>
      <c r="D4" s="2">
        <v>72</v>
      </c>
      <c r="E4" s="2">
        <v>81</v>
      </c>
      <c r="F4" s="2">
        <v>69</v>
      </c>
      <c r="G4" s="2">
        <v>77</v>
      </c>
      <c r="H4" s="2">
        <v>65</v>
      </c>
      <c r="I4" s="2">
        <v>62</v>
      </c>
      <c r="J4" s="2">
        <v>91</v>
      </c>
      <c r="K4" s="4">
        <f t="shared" si="0"/>
        <v>426</v>
      </c>
      <c r="L4" s="4">
        <f t="shared" si="1"/>
        <v>62</v>
      </c>
      <c r="M4" s="4">
        <f t="shared" si="2"/>
        <v>81</v>
      </c>
      <c r="N4" s="5">
        <f t="shared" si="3"/>
        <v>71</v>
      </c>
      <c r="O4" s="5">
        <f t="shared" si="4"/>
        <v>71</v>
      </c>
      <c r="P4" s="5" t="str">
        <f t="shared" si="5"/>
        <v>Pass</v>
      </c>
      <c r="Q4" s="4" t="str" cm="1">
        <f t="array" ref="Q4">_xlfn.IFS(O4&gt;90,"A+",O4&gt;80,"A",O4&gt;70,"B+",O4&gt;60,"B",O4&gt;50,"C",O4&gt;40,"D")</f>
        <v>B+</v>
      </c>
      <c r="R4" s="4" t="str">
        <f t="shared" si="6"/>
        <v>Excellent</v>
      </c>
      <c r="S4" s="6">
        <f t="shared" si="7"/>
        <v>31</v>
      </c>
    </row>
    <row r="5" spans="1:19" x14ac:dyDescent="0.3">
      <c r="A5" s="2">
        <v>4</v>
      </c>
      <c r="B5" s="2" t="s">
        <v>12</v>
      </c>
      <c r="C5" s="2" t="s">
        <v>9</v>
      </c>
      <c r="D5" s="2">
        <v>90</v>
      </c>
      <c r="E5" s="2">
        <v>93</v>
      </c>
      <c r="F5" s="2">
        <v>95</v>
      </c>
      <c r="G5" s="2">
        <v>88</v>
      </c>
      <c r="H5" s="2">
        <v>64</v>
      </c>
      <c r="I5" s="2">
        <v>64</v>
      </c>
      <c r="J5" s="2">
        <v>99</v>
      </c>
      <c r="K5" s="4">
        <f t="shared" si="0"/>
        <v>494</v>
      </c>
      <c r="L5" s="4">
        <f t="shared" si="1"/>
        <v>64</v>
      </c>
      <c r="M5" s="4">
        <f t="shared" si="2"/>
        <v>95</v>
      </c>
      <c r="N5" s="5">
        <f t="shared" si="3"/>
        <v>82.333333333333329</v>
      </c>
      <c r="O5" s="5">
        <f t="shared" si="4"/>
        <v>82.333333333333343</v>
      </c>
      <c r="P5" s="5" t="str">
        <f t="shared" si="5"/>
        <v>Pass</v>
      </c>
      <c r="Q5" s="4" t="str" cm="1">
        <f t="array" ref="Q5">_xlfn.IFS(O5&gt;90,"A+",O5&gt;80,"A",O5&gt;70,"B+",O5&gt;60,"B",O5&gt;50,"C",O5&gt;40,"D")</f>
        <v>A</v>
      </c>
      <c r="R5" s="4" t="str">
        <f t="shared" si="6"/>
        <v>Excellent</v>
      </c>
      <c r="S5" s="6">
        <f t="shared" si="7"/>
        <v>7</v>
      </c>
    </row>
    <row r="6" spans="1:19" x14ac:dyDescent="0.3">
      <c r="A6" s="2">
        <v>5</v>
      </c>
      <c r="B6" s="2" t="s">
        <v>13</v>
      </c>
      <c r="C6" s="2" t="s">
        <v>9</v>
      </c>
      <c r="D6" s="2">
        <v>64</v>
      </c>
      <c r="E6" s="2">
        <v>58</v>
      </c>
      <c r="F6" s="2">
        <v>62</v>
      </c>
      <c r="G6" s="2">
        <v>70</v>
      </c>
      <c r="H6" s="2">
        <v>67</v>
      </c>
      <c r="I6" s="2">
        <v>70</v>
      </c>
      <c r="J6" s="2">
        <v>84</v>
      </c>
      <c r="K6" s="4">
        <f t="shared" si="0"/>
        <v>391</v>
      </c>
      <c r="L6" s="4">
        <f t="shared" si="1"/>
        <v>58</v>
      </c>
      <c r="M6" s="4">
        <f t="shared" si="2"/>
        <v>70</v>
      </c>
      <c r="N6" s="5">
        <f t="shared" si="3"/>
        <v>65.166666666666671</v>
      </c>
      <c r="O6" s="5">
        <f t="shared" si="4"/>
        <v>65.166666666666657</v>
      </c>
      <c r="P6" s="5" t="str">
        <f t="shared" si="5"/>
        <v>Pass</v>
      </c>
      <c r="Q6" s="4" t="str" cm="1">
        <f t="array" ref="Q6">_xlfn.IFS(O6&gt;90,"A+",O6&gt;80,"A",O6&gt;70,"B+",O6&gt;60,"B",O6&gt;50,"C",O6&gt;40,"D")</f>
        <v>B</v>
      </c>
      <c r="R6" s="4" t="str">
        <f t="shared" si="6"/>
        <v>Ver Good</v>
      </c>
      <c r="S6" s="6">
        <f t="shared" si="7"/>
        <v>42.5</v>
      </c>
    </row>
    <row r="7" spans="1:19" x14ac:dyDescent="0.3">
      <c r="A7" s="2">
        <v>6</v>
      </c>
      <c r="B7" s="2" t="s">
        <v>14</v>
      </c>
      <c r="C7" s="2" t="s">
        <v>9</v>
      </c>
      <c r="D7" s="2">
        <v>79</v>
      </c>
      <c r="E7" s="2">
        <v>72</v>
      </c>
      <c r="F7" s="2">
        <v>80</v>
      </c>
      <c r="G7" s="2">
        <v>75</v>
      </c>
      <c r="H7" s="2">
        <v>59</v>
      </c>
      <c r="I7" s="2">
        <v>68</v>
      </c>
      <c r="J7" s="2">
        <v>88</v>
      </c>
      <c r="K7" s="4">
        <f t="shared" si="0"/>
        <v>433</v>
      </c>
      <c r="L7" s="4">
        <f t="shared" si="1"/>
        <v>59</v>
      </c>
      <c r="M7" s="4">
        <f t="shared" si="2"/>
        <v>80</v>
      </c>
      <c r="N7" s="5">
        <f t="shared" si="3"/>
        <v>72.166666666666671</v>
      </c>
      <c r="O7" s="5">
        <f t="shared" si="4"/>
        <v>72.166666666666671</v>
      </c>
      <c r="P7" s="5" t="str">
        <f t="shared" si="5"/>
        <v>Pass</v>
      </c>
      <c r="Q7" s="4" t="str" cm="1">
        <f t="array" ref="Q7">_xlfn.IFS(O7&gt;90,"A+",O7&gt;80,"A",O7&gt;70,"B+",O7&gt;60,"B",O7&gt;50,"C",O7&gt;40,"D")</f>
        <v>B+</v>
      </c>
      <c r="R7" s="4" t="str">
        <f t="shared" si="6"/>
        <v>Ver Good</v>
      </c>
      <c r="S7" s="6">
        <f t="shared" si="7"/>
        <v>27</v>
      </c>
    </row>
    <row r="8" spans="1:19" x14ac:dyDescent="0.3">
      <c r="A8" s="2">
        <v>7</v>
      </c>
      <c r="B8" s="2" t="s">
        <v>15</v>
      </c>
      <c r="C8" s="2" t="s">
        <v>9</v>
      </c>
      <c r="D8" s="2">
        <v>91</v>
      </c>
      <c r="E8" s="2">
        <v>85</v>
      </c>
      <c r="F8" s="2">
        <v>89</v>
      </c>
      <c r="G8" s="2">
        <v>92</v>
      </c>
      <c r="H8" s="2">
        <v>66</v>
      </c>
      <c r="I8" s="2">
        <v>65</v>
      </c>
      <c r="J8" s="2">
        <v>95</v>
      </c>
      <c r="K8" s="4">
        <f t="shared" si="0"/>
        <v>488</v>
      </c>
      <c r="L8" s="4">
        <f t="shared" si="1"/>
        <v>65</v>
      </c>
      <c r="M8" s="4">
        <f t="shared" si="2"/>
        <v>92</v>
      </c>
      <c r="N8" s="5">
        <f t="shared" si="3"/>
        <v>81.333333333333329</v>
      </c>
      <c r="O8" s="5">
        <f t="shared" si="4"/>
        <v>81.333333333333329</v>
      </c>
      <c r="P8" s="5" t="str">
        <f t="shared" si="5"/>
        <v>Pass</v>
      </c>
      <c r="Q8" s="4" t="str" cm="1">
        <f t="array" ref="Q8">_xlfn.IFS(O8&gt;90,"A+",O8&gt;80,"A",O8&gt;70,"B+",O8&gt;60,"B",O8&gt;50,"C",O8&gt;40,"D")</f>
        <v>A</v>
      </c>
      <c r="R8" s="4" t="str">
        <f t="shared" si="6"/>
        <v>Excellent</v>
      </c>
      <c r="S8" s="6">
        <f t="shared" si="7"/>
        <v>11</v>
      </c>
    </row>
    <row r="9" spans="1:19" x14ac:dyDescent="0.3">
      <c r="A9" s="2">
        <v>8</v>
      </c>
      <c r="B9" s="2" t="s">
        <v>16</v>
      </c>
      <c r="C9" s="2" t="s">
        <v>9</v>
      </c>
      <c r="D9" s="2">
        <v>45</v>
      </c>
      <c r="E9" s="2">
        <v>55</v>
      </c>
      <c r="F9" s="2">
        <v>48</v>
      </c>
      <c r="G9" s="2">
        <v>60</v>
      </c>
      <c r="H9" s="2">
        <v>61</v>
      </c>
      <c r="I9" s="2">
        <v>62</v>
      </c>
      <c r="J9" s="2">
        <v>78</v>
      </c>
      <c r="K9" s="4">
        <f t="shared" si="0"/>
        <v>331</v>
      </c>
      <c r="L9" s="4">
        <f t="shared" si="1"/>
        <v>45</v>
      </c>
      <c r="M9" s="4">
        <f t="shared" si="2"/>
        <v>62</v>
      </c>
      <c r="N9" s="5">
        <f t="shared" si="3"/>
        <v>55.166666666666664</v>
      </c>
      <c r="O9" s="5">
        <f t="shared" si="4"/>
        <v>55.166666666666664</v>
      </c>
      <c r="P9" s="5" t="str">
        <f t="shared" si="5"/>
        <v>Pass</v>
      </c>
      <c r="Q9" s="4" t="str" cm="1">
        <f t="array" ref="Q9">_xlfn.IFS(O9&gt;90,"A+",O9&gt;80,"A",O9&gt;70,"B+",O9&gt;60,"B",O9&gt;50,"C",O9&gt;40,"D")</f>
        <v>C</v>
      </c>
      <c r="R9" s="4" t="str">
        <f t="shared" si="6"/>
        <v>Need Imporvement</v>
      </c>
      <c r="S9" s="6">
        <f t="shared" si="7"/>
        <v>50</v>
      </c>
    </row>
    <row r="10" spans="1:19" x14ac:dyDescent="0.3">
      <c r="A10" s="2">
        <v>9</v>
      </c>
      <c r="B10" s="2" t="s">
        <v>17</v>
      </c>
      <c r="C10" s="2" t="s">
        <v>9</v>
      </c>
      <c r="D10" s="2">
        <v>87</v>
      </c>
      <c r="E10" s="2">
        <v>90</v>
      </c>
      <c r="F10" s="2">
        <v>86</v>
      </c>
      <c r="G10" s="2">
        <v>83</v>
      </c>
      <c r="H10" s="2">
        <v>67</v>
      </c>
      <c r="I10" s="2">
        <v>78</v>
      </c>
      <c r="J10" s="2">
        <v>97</v>
      </c>
      <c r="K10" s="4">
        <f t="shared" si="0"/>
        <v>491</v>
      </c>
      <c r="L10" s="4">
        <f t="shared" si="1"/>
        <v>67</v>
      </c>
      <c r="M10" s="4">
        <f t="shared" si="2"/>
        <v>90</v>
      </c>
      <c r="N10" s="5">
        <f t="shared" si="3"/>
        <v>81.833333333333329</v>
      </c>
      <c r="O10" s="5">
        <f t="shared" si="4"/>
        <v>81.833333333333343</v>
      </c>
      <c r="P10" s="5" t="str">
        <f t="shared" si="5"/>
        <v>Pass</v>
      </c>
      <c r="Q10" s="4" t="str" cm="1">
        <f t="array" ref="Q10">_xlfn.IFS(O10&gt;90,"A+",O10&gt;80,"A",O10&gt;70,"B+",O10&gt;60,"B",O10&gt;50,"C",O10&gt;40,"D")</f>
        <v>A</v>
      </c>
      <c r="R10" s="4" t="str">
        <f t="shared" si="6"/>
        <v>Excellent</v>
      </c>
      <c r="S10" s="6">
        <f t="shared" si="7"/>
        <v>8.5</v>
      </c>
    </row>
    <row r="11" spans="1:19" x14ac:dyDescent="0.3">
      <c r="A11" s="2">
        <v>10</v>
      </c>
      <c r="B11" s="2" t="s">
        <v>18</v>
      </c>
      <c r="C11" s="2" t="s">
        <v>9</v>
      </c>
      <c r="D11" s="2">
        <v>52</v>
      </c>
      <c r="E11" s="2">
        <v>60</v>
      </c>
      <c r="F11" s="2">
        <v>55</v>
      </c>
      <c r="G11" s="2">
        <v>67</v>
      </c>
      <c r="H11" s="2">
        <v>70</v>
      </c>
      <c r="I11" s="2">
        <v>76</v>
      </c>
      <c r="J11" s="2">
        <v>80</v>
      </c>
      <c r="K11" s="4">
        <f t="shared" si="0"/>
        <v>380</v>
      </c>
      <c r="L11" s="4">
        <f t="shared" si="1"/>
        <v>52</v>
      </c>
      <c r="M11" s="4">
        <f t="shared" si="2"/>
        <v>76</v>
      </c>
      <c r="N11" s="5">
        <f t="shared" si="3"/>
        <v>63.333333333333336</v>
      </c>
      <c r="O11" s="5">
        <f t="shared" si="4"/>
        <v>63.333333333333329</v>
      </c>
      <c r="P11" s="5" t="str">
        <f t="shared" si="5"/>
        <v>Pass</v>
      </c>
      <c r="Q11" s="4" t="str" cm="1">
        <f t="array" ref="Q11">_xlfn.IFS(O11&gt;90,"A+",O11&gt;80,"A",O11&gt;70,"B+",O11&gt;60,"B",O11&gt;50,"C",O11&gt;40,"D")</f>
        <v>B</v>
      </c>
      <c r="R11" s="4" t="str">
        <f t="shared" si="6"/>
        <v>Need Improvement</v>
      </c>
      <c r="S11" s="6">
        <f t="shared" si="7"/>
        <v>45</v>
      </c>
    </row>
    <row r="12" spans="1:19" x14ac:dyDescent="0.3">
      <c r="A12" s="2">
        <v>11</v>
      </c>
      <c r="B12" s="2" t="s">
        <v>19</v>
      </c>
      <c r="C12" s="2" t="s">
        <v>9</v>
      </c>
      <c r="D12" s="2">
        <v>84</v>
      </c>
      <c r="E12" s="2">
        <v>79</v>
      </c>
      <c r="F12" s="2">
        <v>81</v>
      </c>
      <c r="G12" s="2">
        <v>86</v>
      </c>
      <c r="H12" s="2">
        <v>80</v>
      </c>
      <c r="I12" s="2">
        <v>59</v>
      </c>
      <c r="J12" s="2">
        <v>93</v>
      </c>
      <c r="K12" s="4">
        <f t="shared" si="0"/>
        <v>469</v>
      </c>
      <c r="L12" s="4">
        <f t="shared" si="1"/>
        <v>59</v>
      </c>
      <c r="M12" s="4">
        <f t="shared" si="2"/>
        <v>86</v>
      </c>
      <c r="N12" s="5">
        <f t="shared" si="3"/>
        <v>78.166666666666671</v>
      </c>
      <c r="O12" s="5">
        <f t="shared" si="4"/>
        <v>78.166666666666657</v>
      </c>
      <c r="P12" s="5" t="str">
        <f t="shared" si="5"/>
        <v>Pass</v>
      </c>
      <c r="Q12" s="4" t="str" cm="1">
        <f t="array" ref="Q12">_xlfn.IFS(O12&gt;90,"A+",O12&gt;80,"A",O12&gt;70,"B+",O12&gt;60,"B",O12&gt;50,"C",O12&gt;40,"D")</f>
        <v>B+</v>
      </c>
      <c r="R12" s="4" t="str">
        <f t="shared" si="6"/>
        <v>Excellent</v>
      </c>
      <c r="S12" s="6">
        <f t="shared" si="7"/>
        <v>16.5</v>
      </c>
    </row>
    <row r="13" spans="1:19" x14ac:dyDescent="0.3">
      <c r="A13" s="2">
        <v>12</v>
      </c>
      <c r="B13" s="2" t="s">
        <v>20</v>
      </c>
      <c r="C13" s="2" t="s">
        <v>9</v>
      </c>
      <c r="D13" s="2">
        <v>68</v>
      </c>
      <c r="E13" s="2">
        <v>74</v>
      </c>
      <c r="F13" s="2">
        <v>70</v>
      </c>
      <c r="G13" s="2">
        <v>76</v>
      </c>
      <c r="H13" s="2">
        <v>72</v>
      </c>
      <c r="I13" s="2">
        <v>58</v>
      </c>
      <c r="J13" s="2">
        <v>85</v>
      </c>
      <c r="K13" s="4">
        <f t="shared" si="0"/>
        <v>418</v>
      </c>
      <c r="L13" s="4">
        <f t="shared" si="1"/>
        <v>58</v>
      </c>
      <c r="M13" s="4">
        <f t="shared" si="2"/>
        <v>76</v>
      </c>
      <c r="N13" s="5">
        <f t="shared" si="3"/>
        <v>69.666666666666671</v>
      </c>
      <c r="O13" s="5">
        <f t="shared" si="4"/>
        <v>69.666666666666671</v>
      </c>
      <c r="P13" s="5" t="str">
        <f t="shared" si="5"/>
        <v>Pass</v>
      </c>
      <c r="Q13" s="4" t="str" cm="1">
        <f t="array" ref="Q13">_xlfn.IFS(O13&gt;90,"A+",O13&gt;80,"A",O13&gt;70,"B+",O13&gt;60,"B",O13&gt;50,"C",O13&gt;40,"D")</f>
        <v>B</v>
      </c>
      <c r="R13" s="4" t="str">
        <f t="shared" si="6"/>
        <v>Ver Good</v>
      </c>
      <c r="S13" s="6">
        <f t="shared" si="7"/>
        <v>34.5</v>
      </c>
    </row>
    <row r="14" spans="1:19" x14ac:dyDescent="0.3">
      <c r="A14" s="2">
        <v>13</v>
      </c>
      <c r="B14" s="2" t="s">
        <v>21</v>
      </c>
      <c r="C14" s="2" t="s">
        <v>9</v>
      </c>
      <c r="D14" s="2">
        <v>77</v>
      </c>
      <c r="E14" s="2">
        <v>71</v>
      </c>
      <c r="F14" s="2">
        <v>78</v>
      </c>
      <c r="G14" s="2">
        <v>80</v>
      </c>
      <c r="H14" s="2">
        <v>75</v>
      </c>
      <c r="I14" s="2">
        <v>78</v>
      </c>
      <c r="J14" s="2">
        <v>90</v>
      </c>
      <c r="K14" s="4">
        <f t="shared" si="0"/>
        <v>459</v>
      </c>
      <c r="L14" s="4">
        <f t="shared" si="1"/>
        <v>71</v>
      </c>
      <c r="M14" s="4">
        <f t="shared" si="2"/>
        <v>80</v>
      </c>
      <c r="N14" s="5">
        <f t="shared" si="3"/>
        <v>76.5</v>
      </c>
      <c r="O14" s="5">
        <f t="shared" si="4"/>
        <v>76.5</v>
      </c>
      <c r="P14" s="5" t="str">
        <f t="shared" si="5"/>
        <v>Pass</v>
      </c>
      <c r="Q14" s="4" t="str" cm="1">
        <f t="array" ref="Q14">_xlfn.IFS(O14&gt;90,"A+",O14&gt;80,"A",O14&gt;70,"B+",O14&gt;60,"B",O14&gt;50,"C",O14&gt;40,"D")</f>
        <v>B+</v>
      </c>
      <c r="R14" s="4" t="str">
        <f t="shared" si="6"/>
        <v>Ver Good</v>
      </c>
      <c r="S14" s="6">
        <f t="shared" si="7"/>
        <v>19</v>
      </c>
    </row>
    <row r="15" spans="1:19" x14ac:dyDescent="0.3">
      <c r="A15" s="2">
        <v>14</v>
      </c>
      <c r="B15" s="2" t="s">
        <v>22</v>
      </c>
      <c r="C15" s="2" t="s">
        <v>9</v>
      </c>
      <c r="D15" s="2">
        <v>93</v>
      </c>
      <c r="E15" s="2">
        <v>95</v>
      </c>
      <c r="F15" s="2">
        <v>92</v>
      </c>
      <c r="G15" s="2">
        <v>94</v>
      </c>
      <c r="H15" s="2">
        <v>73</v>
      </c>
      <c r="I15" s="2">
        <v>62</v>
      </c>
      <c r="J15" s="2">
        <v>98</v>
      </c>
      <c r="K15" s="4">
        <f t="shared" si="0"/>
        <v>509</v>
      </c>
      <c r="L15" s="4">
        <f t="shared" si="1"/>
        <v>62</v>
      </c>
      <c r="M15" s="4">
        <f t="shared" si="2"/>
        <v>95</v>
      </c>
      <c r="N15" s="5">
        <f t="shared" si="3"/>
        <v>84.833333333333329</v>
      </c>
      <c r="O15" s="5">
        <f t="shared" si="4"/>
        <v>84.833333333333343</v>
      </c>
      <c r="P15" s="5" t="str">
        <f t="shared" si="5"/>
        <v>Pass</v>
      </c>
      <c r="Q15" s="4" t="str" cm="1">
        <f t="array" ref="Q15">_xlfn.IFS(O15&gt;90,"A+",O15&gt;80,"A",O15&gt;70,"B+",O15&gt;60,"B",O15&gt;50,"C",O15&gt;40,"D")</f>
        <v>A</v>
      </c>
      <c r="R15" s="4" t="str">
        <f t="shared" si="6"/>
        <v>Excellent</v>
      </c>
      <c r="S15" s="6">
        <f t="shared" si="7"/>
        <v>2</v>
      </c>
    </row>
    <row r="16" spans="1:19" x14ac:dyDescent="0.3">
      <c r="A16" s="2">
        <v>15</v>
      </c>
      <c r="B16" s="2" t="s">
        <v>23</v>
      </c>
      <c r="C16" s="2" t="s">
        <v>9</v>
      </c>
      <c r="D16" s="2">
        <v>56</v>
      </c>
      <c r="E16" s="2">
        <v>64</v>
      </c>
      <c r="F16" s="2">
        <v>59</v>
      </c>
      <c r="G16" s="2">
        <v>62</v>
      </c>
      <c r="H16" s="2">
        <v>67</v>
      </c>
      <c r="I16" s="2">
        <v>65</v>
      </c>
      <c r="J16" s="2">
        <v>81</v>
      </c>
      <c r="K16" s="4">
        <f t="shared" si="0"/>
        <v>373</v>
      </c>
      <c r="L16" s="4">
        <f t="shared" si="1"/>
        <v>56</v>
      </c>
      <c r="M16" s="4">
        <f t="shared" si="2"/>
        <v>67</v>
      </c>
      <c r="N16" s="5">
        <f t="shared" si="3"/>
        <v>62.166666666666664</v>
      </c>
      <c r="O16" s="5">
        <f t="shared" si="4"/>
        <v>62.166666666666671</v>
      </c>
      <c r="P16" s="5" t="str">
        <f t="shared" si="5"/>
        <v>Pass</v>
      </c>
      <c r="Q16" s="4" t="str" cm="1">
        <f t="array" ref="Q16">_xlfn.IFS(O16&gt;90,"A+",O16&gt;80,"A",O16&gt;70,"B+",O16&gt;60,"B",O16&gt;50,"C",O16&gt;40,"D")</f>
        <v>B</v>
      </c>
      <c r="R16" s="4" t="str">
        <f t="shared" si="6"/>
        <v>Ver Good</v>
      </c>
      <c r="S16" s="6">
        <f t="shared" si="7"/>
        <v>46.5</v>
      </c>
    </row>
    <row r="17" spans="1:19" x14ac:dyDescent="0.3">
      <c r="A17" s="2">
        <v>16</v>
      </c>
      <c r="B17" s="2" t="s">
        <v>24</v>
      </c>
      <c r="C17" s="2" t="s">
        <v>9</v>
      </c>
      <c r="D17" s="2">
        <v>82</v>
      </c>
      <c r="E17" s="2">
        <v>79</v>
      </c>
      <c r="F17" s="2">
        <v>85</v>
      </c>
      <c r="G17" s="2">
        <v>83</v>
      </c>
      <c r="H17" s="2">
        <v>63</v>
      </c>
      <c r="I17" s="2">
        <v>80</v>
      </c>
      <c r="J17" s="2">
        <v>89</v>
      </c>
      <c r="K17" s="4">
        <f t="shared" si="0"/>
        <v>472</v>
      </c>
      <c r="L17" s="4">
        <f t="shared" si="1"/>
        <v>63</v>
      </c>
      <c r="M17" s="4">
        <f t="shared" si="2"/>
        <v>85</v>
      </c>
      <c r="N17" s="5">
        <f t="shared" si="3"/>
        <v>78.666666666666671</v>
      </c>
      <c r="O17" s="5">
        <f t="shared" si="4"/>
        <v>78.666666666666657</v>
      </c>
      <c r="P17" s="5" t="str">
        <f t="shared" si="5"/>
        <v>Pass</v>
      </c>
      <c r="Q17" s="4" t="str" cm="1">
        <f t="array" ref="Q17">_xlfn.IFS(O17&gt;90,"A+",O17&gt;80,"A",O17&gt;70,"B+",O17&gt;60,"B",O17&gt;50,"C",O17&gt;40,"D")</f>
        <v>B+</v>
      </c>
      <c r="R17" s="4" t="str">
        <f t="shared" si="6"/>
        <v>Ver Good</v>
      </c>
      <c r="S17" s="6">
        <f t="shared" si="7"/>
        <v>15</v>
      </c>
    </row>
    <row r="18" spans="1:19" x14ac:dyDescent="0.3">
      <c r="A18" s="2">
        <v>17</v>
      </c>
      <c r="B18" s="2" t="s">
        <v>25</v>
      </c>
      <c r="C18" s="2" t="s">
        <v>9</v>
      </c>
      <c r="D18" s="2">
        <v>75</v>
      </c>
      <c r="E18" s="2">
        <v>68</v>
      </c>
      <c r="F18" s="2">
        <v>70</v>
      </c>
      <c r="G18" s="2">
        <v>72</v>
      </c>
      <c r="H18" s="2">
        <v>80</v>
      </c>
      <c r="I18" s="2">
        <v>70</v>
      </c>
      <c r="J18" s="2">
        <v>86</v>
      </c>
      <c r="K18" s="4">
        <f t="shared" si="0"/>
        <v>435</v>
      </c>
      <c r="L18" s="4">
        <f t="shared" si="1"/>
        <v>68</v>
      </c>
      <c r="M18" s="4">
        <f t="shared" si="2"/>
        <v>80</v>
      </c>
      <c r="N18" s="5">
        <f t="shared" si="3"/>
        <v>72.5</v>
      </c>
      <c r="O18" s="5">
        <f t="shared" si="4"/>
        <v>72.5</v>
      </c>
      <c r="P18" s="5" t="str">
        <f t="shared" si="5"/>
        <v>Pass</v>
      </c>
      <c r="Q18" s="4" t="str" cm="1">
        <f t="array" ref="Q18">_xlfn.IFS(O18&gt;90,"A+",O18&gt;80,"A",O18&gt;70,"B+",O18&gt;60,"B",O18&gt;50,"C",O18&gt;40,"D")</f>
        <v>B+</v>
      </c>
      <c r="R18" s="4" t="str">
        <f t="shared" si="6"/>
        <v>Ver Good</v>
      </c>
      <c r="S18" s="6">
        <f t="shared" si="7"/>
        <v>26</v>
      </c>
    </row>
    <row r="19" spans="1:19" x14ac:dyDescent="0.3">
      <c r="A19" s="2">
        <v>18</v>
      </c>
      <c r="B19" s="2" t="s">
        <v>26</v>
      </c>
      <c r="C19" s="2" t="s">
        <v>9</v>
      </c>
      <c r="D19" s="2">
        <v>61</v>
      </c>
      <c r="E19" s="2">
        <v>58</v>
      </c>
      <c r="F19" s="2">
        <v>64</v>
      </c>
      <c r="G19" s="2">
        <v>66</v>
      </c>
      <c r="H19" s="2">
        <v>79</v>
      </c>
      <c r="I19" s="2">
        <v>77</v>
      </c>
      <c r="J19" s="2">
        <v>80</v>
      </c>
      <c r="K19" s="4">
        <f t="shared" si="0"/>
        <v>405</v>
      </c>
      <c r="L19" s="4">
        <f t="shared" si="1"/>
        <v>58</v>
      </c>
      <c r="M19" s="4">
        <f t="shared" si="2"/>
        <v>79</v>
      </c>
      <c r="N19" s="5">
        <f t="shared" si="3"/>
        <v>67.5</v>
      </c>
      <c r="O19" s="5">
        <f t="shared" si="4"/>
        <v>67.5</v>
      </c>
      <c r="P19" s="5" t="str">
        <f t="shared" si="5"/>
        <v>Pass</v>
      </c>
      <c r="Q19" s="4" t="str" cm="1">
        <f t="array" ref="Q19">_xlfn.IFS(O19&gt;90,"A+",O19&gt;80,"A",O19&gt;70,"B+",O19&gt;60,"B",O19&gt;50,"C",O19&gt;40,"D")</f>
        <v>B</v>
      </c>
      <c r="R19" s="4" t="str">
        <f t="shared" si="6"/>
        <v>Need Improvement</v>
      </c>
      <c r="S19" s="6">
        <f t="shared" si="7"/>
        <v>37.5</v>
      </c>
    </row>
    <row r="20" spans="1:19" x14ac:dyDescent="0.3">
      <c r="A20" s="2">
        <v>19</v>
      </c>
      <c r="B20" s="2" t="s">
        <v>27</v>
      </c>
      <c r="C20" s="2" t="s">
        <v>9</v>
      </c>
      <c r="D20" s="2">
        <v>88</v>
      </c>
      <c r="E20" s="2">
        <v>91</v>
      </c>
      <c r="F20" s="2">
        <v>85</v>
      </c>
      <c r="G20" s="2">
        <v>90</v>
      </c>
      <c r="H20" s="2">
        <v>64</v>
      </c>
      <c r="I20" s="2">
        <v>77</v>
      </c>
      <c r="J20" s="2">
        <v>95</v>
      </c>
      <c r="K20" s="4">
        <f t="shared" si="0"/>
        <v>495</v>
      </c>
      <c r="L20" s="4">
        <f t="shared" si="1"/>
        <v>64</v>
      </c>
      <c r="M20" s="4">
        <f t="shared" si="2"/>
        <v>91</v>
      </c>
      <c r="N20" s="5">
        <f t="shared" si="3"/>
        <v>82.5</v>
      </c>
      <c r="O20" s="5">
        <f t="shared" si="4"/>
        <v>82.5</v>
      </c>
      <c r="P20" s="5" t="str">
        <f t="shared" si="5"/>
        <v>Pass</v>
      </c>
      <c r="Q20" s="4" t="str" cm="1">
        <f t="array" ref="Q20">_xlfn.IFS(O20&gt;90,"A+",O20&gt;80,"A",O20&gt;70,"B+",O20&gt;60,"B",O20&gt;50,"C",O20&gt;40,"D")</f>
        <v>A</v>
      </c>
      <c r="R20" s="4" t="str">
        <f t="shared" si="6"/>
        <v>Excellent</v>
      </c>
      <c r="S20" s="6">
        <f t="shared" si="7"/>
        <v>6</v>
      </c>
    </row>
    <row r="21" spans="1:19" x14ac:dyDescent="0.3">
      <c r="A21" s="2">
        <v>20</v>
      </c>
      <c r="B21" s="2" t="s">
        <v>28</v>
      </c>
      <c r="C21" s="2" t="s">
        <v>9</v>
      </c>
      <c r="D21" s="2">
        <v>70</v>
      </c>
      <c r="E21" s="2">
        <v>74</v>
      </c>
      <c r="F21" s="2">
        <v>72</v>
      </c>
      <c r="G21" s="2">
        <v>75</v>
      </c>
      <c r="H21" s="2">
        <v>66</v>
      </c>
      <c r="I21" s="2">
        <v>63</v>
      </c>
      <c r="J21" s="2">
        <v>88</v>
      </c>
      <c r="K21" s="4">
        <f t="shared" si="0"/>
        <v>420</v>
      </c>
      <c r="L21" s="4">
        <f t="shared" si="1"/>
        <v>63</v>
      </c>
      <c r="M21" s="4">
        <f t="shared" si="2"/>
        <v>75</v>
      </c>
      <c r="N21" s="5">
        <f t="shared" si="3"/>
        <v>70</v>
      </c>
      <c r="O21" s="5">
        <f t="shared" si="4"/>
        <v>70</v>
      </c>
      <c r="P21" s="5" t="str">
        <f t="shared" si="5"/>
        <v>Pass</v>
      </c>
      <c r="Q21" s="4" t="str" cm="1">
        <f t="array" ref="Q21">_xlfn.IFS(O21&gt;90,"A+",O21&gt;80,"A",O21&gt;70,"B+",O21&gt;60,"B",O21&gt;50,"C",O21&gt;40,"D")</f>
        <v>B</v>
      </c>
      <c r="R21" s="4" t="str">
        <f t="shared" si="6"/>
        <v>Ver Good</v>
      </c>
      <c r="S21" s="6">
        <f t="shared" si="7"/>
        <v>33</v>
      </c>
    </row>
    <row r="22" spans="1:19" x14ac:dyDescent="0.3">
      <c r="A22" s="2">
        <v>21</v>
      </c>
      <c r="B22" s="2" t="s">
        <v>29</v>
      </c>
      <c r="C22" s="2" t="s">
        <v>9</v>
      </c>
      <c r="D22" s="2">
        <v>81</v>
      </c>
      <c r="E22" s="2">
        <v>77</v>
      </c>
      <c r="F22" s="2">
        <v>84</v>
      </c>
      <c r="G22" s="2">
        <v>80</v>
      </c>
      <c r="H22" s="2">
        <v>62</v>
      </c>
      <c r="I22" s="2">
        <v>58</v>
      </c>
      <c r="J22" s="2">
        <v>92</v>
      </c>
      <c r="K22" s="4">
        <f t="shared" si="0"/>
        <v>442</v>
      </c>
      <c r="L22" s="4">
        <f t="shared" si="1"/>
        <v>58</v>
      </c>
      <c r="M22" s="4">
        <f t="shared" si="2"/>
        <v>84</v>
      </c>
      <c r="N22" s="5">
        <f t="shared" si="3"/>
        <v>73.666666666666671</v>
      </c>
      <c r="O22" s="5">
        <f t="shared" si="4"/>
        <v>73.666666666666671</v>
      </c>
      <c r="P22" s="5" t="str">
        <f t="shared" si="5"/>
        <v>Pass</v>
      </c>
      <c r="Q22" s="4" t="str" cm="1">
        <f t="array" ref="Q22">_xlfn.IFS(O22&gt;90,"A+",O22&gt;80,"A",O22&gt;70,"B+",O22&gt;60,"B",O22&gt;50,"C",O22&gt;40,"D")</f>
        <v>B+</v>
      </c>
      <c r="R22" s="4" t="str">
        <f t="shared" si="6"/>
        <v>Excellent</v>
      </c>
      <c r="S22" s="6">
        <f t="shared" si="7"/>
        <v>24</v>
      </c>
    </row>
    <row r="23" spans="1:19" x14ac:dyDescent="0.3">
      <c r="A23" s="2">
        <v>22</v>
      </c>
      <c r="B23" s="2" t="s">
        <v>30</v>
      </c>
      <c r="C23" s="2" t="s">
        <v>9</v>
      </c>
      <c r="D23" s="2">
        <v>60</v>
      </c>
      <c r="E23" s="2">
        <v>63</v>
      </c>
      <c r="F23" s="2">
        <v>58</v>
      </c>
      <c r="G23" s="2">
        <v>67</v>
      </c>
      <c r="H23" s="2">
        <v>74</v>
      </c>
      <c r="I23" s="2">
        <v>70</v>
      </c>
      <c r="J23" s="2">
        <v>83</v>
      </c>
      <c r="K23" s="4">
        <f t="shared" si="0"/>
        <v>392</v>
      </c>
      <c r="L23" s="4">
        <f t="shared" si="1"/>
        <v>58</v>
      </c>
      <c r="M23" s="4">
        <f t="shared" si="2"/>
        <v>74</v>
      </c>
      <c r="N23" s="5">
        <f t="shared" si="3"/>
        <v>65.333333333333329</v>
      </c>
      <c r="O23" s="5">
        <f t="shared" si="4"/>
        <v>65.333333333333329</v>
      </c>
      <c r="P23" s="5" t="str">
        <f t="shared" si="5"/>
        <v>Pass</v>
      </c>
      <c r="Q23" s="4" t="str" cm="1">
        <f t="array" ref="Q23">_xlfn.IFS(O23&gt;90,"A+",O23&gt;80,"A",O23&gt;70,"B+",O23&gt;60,"B",O23&gt;50,"C",O23&gt;40,"D")</f>
        <v>B</v>
      </c>
      <c r="R23" s="4" t="str">
        <f t="shared" si="6"/>
        <v>Ver Good</v>
      </c>
      <c r="S23" s="6">
        <f t="shared" si="7"/>
        <v>40.5</v>
      </c>
    </row>
    <row r="24" spans="1:19" x14ac:dyDescent="0.3">
      <c r="A24" s="2">
        <v>23</v>
      </c>
      <c r="B24" s="2" t="s">
        <v>31</v>
      </c>
      <c r="C24" s="2" t="s">
        <v>9</v>
      </c>
      <c r="D24" s="2">
        <v>90</v>
      </c>
      <c r="E24" s="2">
        <v>87</v>
      </c>
      <c r="F24" s="2">
        <v>88</v>
      </c>
      <c r="G24" s="2">
        <v>91</v>
      </c>
      <c r="H24" s="2">
        <v>76</v>
      </c>
      <c r="I24" s="2">
        <v>59</v>
      </c>
      <c r="J24" s="2">
        <v>96</v>
      </c>
      <c r="K24" s="4">
        <f t="shared" si="0"/>
        <v>491</v>
      </c>
      <c r="L24" s="4">
        <f t="shared" si="1"/>
        <v>59</v>
      </c>
      <c r="M24" s="4">
        <f t="shared" si="2"/>
        <v>91</v>
      </c>
      <c r="N24" s="5">
        <f t="shared" si="3"/>
        <v>81.833333333333329</v>
      </c>
      <c r="O24" s="5">
        <f t="shared" si="4"/>
        <v>81.833333333333343</v>
      </c>
      <c r="P24" s="5" t="str">
        <f t="shared" si="5"/>
        <v>Pass</v>
      </c>
      <c r="Q24" s="4" t="str" cm="1">
        <f t="array" ref="Q24">_xlfn.IFS(O24&gt;90,"A+",O24&gt;80,"A",O24&gt;70,"B+",O24&gt;60,"B",O24&gt;50,"C",O24&gt;40,"D")</f>
        <v>A</v>
      </c>
      <c r="R24" s="4" t="str">
        <f t="shared" si="6"/>
        <v>Excellent</v>
      </c>
      <c r="S24" s="6">
        <f t="shared" si="7"/>
        <v>8.5</v>
      </c>
    </row>
    <row r="25" spans="1:19" x14ac:dyDescent="0.3">
      <c r="A25" s="2">
        <v>24</v>
      </c>
      <c r="B25" s="2" t="s">
        <v>32</v>
      </c>
      <c r="C25" s="2" t="s">
        <v>9</v>
      </c>
      <c r="D25" s="2">
        <v>73</v>
      </c>
      <c r="E25" s="2">
        <v>70</v>
      </c>
      <c r="F25" s="2">
        <v>69</v>
      </c>
      <c r="G25" s="2">
        <v>71</v>
      </c>
      <c r="H25" s="2">
        <v>68</v>
      </c>
      <c r="I25" s="2">
        <v>55</v>
      </c>
      <c r="J25" s="2">
        <v>84</v>
      </c>
      <c r="K25" s="4">
        <f t="shared" si="0"/>
        <v>406</v>
      </c>
      <c r="L25" s="4">
        <f t="shared" si="1"/>
        <v>55</v>
      </c>
      <c r="M25" s="4">
        <f t="shared" si="2"/>
        <v>73</v>
      </c>
      <c r="N25" s="5">
        <f t="shared" si="3"/>
        <v>67.666666666666671</v>
      </c>
      <c r="O25" s="5">
        <f t="shared" si="4"/>
        <v>67.666666666666657</v>
      </c>
      <c r="P25" s="5" t="str">
        <f t="shared" si="5"/>
        <v>Pass</v>
      </c>
      <c r="Q25" s="4" t="str" cm="1">
        <f t="array" ref="Q25">_xlfn.IFS(O25&gt;90,"A+",O25&gt;80,"A",O25&gt;70,"B+",O25&gt;60,"B",O25&gt;50,"C",O25&gt;40,"D")</f>
        <v>B</v>
      </c>
      <c r="R25" s="4" t="str">
        <f t="shared" si="6"/>
        <v>Ver Good</v>
      </c>
      <c r="S25" s="6">
        <f t="shared" si="7"/>
        <v>36</v>
      </c>
    </row>
    <row r="26" spans="1:19" x14ac:dyDescent="0.3">
      <c r="A26" s="2">
        <v>25</v>
      </c>
      <c r="B26" s="2" t="s">
        <v>33</v>
      </c>
      <c r="C26" s="2" t="s">
        <v>9</v>
      </c>
      <c r="D26" s="2">
        <v>85</v>
      </c>
      <c r="E26" s="2">
        <v>88</v>
      </c>
      <c r="F26" s="2">
        <v>82</v>
      </c>
      <c r="G26" s="2">
        <v>86</v>
      </c>
      <c r="H26" s="2">
        <v>69</v>
      </c>
      <c r="I26" s="2">
        <v>66</v>
      </c>
      <c r="J26" s="2">
        <v>95</v>
      </c>
      <c r="K26" s="4">
        <f t="shared" si="0"/>
        <v>476</v>
      </c>
      <c r="L26" s="4">
        <f t="shared" si="1"/>
        <v>66</v>
      </c>
      <c r="M26" s="4">
        <f t="shared" si="2"/>
        <v>88</v>
      </c>
      <c r="N26" s="5">
        <f t="shared" si="3"/>
        <v>79.333333333333329</v>
      </c>
      <c r="O26" s="5">
        <f t="shared" si="4"/>
        <v>79.333333333333329</v>
      </c>
      <c r="P26" s="5" t="str">
        <f t="shared" si="5"/>
        <v>Pass</v>
      </c>
      <c r="Q26" s="4" t="str" cm="1">
        <f t="array" ref="Q26">_xlfn.IFS(O26&gt;90,"A+",O26&gt;80,"A",O26&gt;70,"B+",O26&gt;60,"B",O26&gt;50,"C",O26&gt;40,"D")</f>
        <v>B+</v>
      </c>
      <c r="R26" s="4" t="str">
        <f t="shared" si="6"/>
        <v>Excellent</v>
      </c>
      <c r="S26" s="6">
        <f t="shared" si="7"/>
        <v>13</v>
      </c>
    </row>
    <row r="27" spans="1:19" x14ac:dyDescent="0.3">
      <c r="A27" s="2">
        <v>26</v>
      </c>
      <c r="B27" s="2" t="s">
        <v>34</v>
      </c>
      <c r="C27" s="2" t="s">
        <v>9</v>
      </c>
      <c r="D27" s="2">
        <v>48</v>
      </c>
      <c r="E27" s="2">
        <v>55</v>
      </c>
      <c r="F27" s="2">
        <v>53</v>
      </c>
      <c r="G27" s="2">
        <v>58</v>
      </c>
      <c r="H27" s="2">
        <v>74</v>
      </c>
      <c r="I27" s="2">
        <v>68</v>
      </c>
      <c r="J27" s="2">
        <v>77</v>
      </c>
      <c r="K27" s="4">
        <f t="shared" si="0"/>
        <v>356</v>
      </c>
      <c r="L27" s="4">
        <f t="shared" si="1"/>
        <v>48</v>
      </c>
      <c r="M27" s="4">
        <f t="shared" si="2"/>
        <v>74</v>
      </c>
      <c r="N27" s="5">
        <f t="shared" si="3"/>
        <v>59.333333333333336</v>
      </c>
      <c r="O27" s="5">
        <f t="shared" si="4"/>
        <v>59.333333333333336</v>
      </c>
      <c r="P27" s="5" t="str">
        <f t="shared" si="5"/>
        <v>Pass</v>
      </c>
      <c r="Q27" s="4" t="str" cm="1">
        <f t="array" ref="Q27">_xlfn.IFS(O27&gt;90,"A+",O27&gt;80,"A",O27&gt;70,"B+",O27&gt;60,"B",O27&gt;50,"C",O27&gt;40,"D")</f>
        <v>C</v>
      </c>
      <c r="R27" s="4" t="str">
        <f t="shared" si="6"/>
        <v>Need Imporvement</v>
      </c>
      <c r="S27" s="6">
        <f t="shared" si="7"/>
        <v>49</v>
      </c>
    </row>
    <row r="28" spans="1:19" x14ac:dyDescent="0.3">
      <c r="A28" s="2">
        <v>27</v>
      </c>
      <c r="B28" s="2" t="s">
        <v>35</v>
      </c>
      <c r="C28" s="2" t="s">
        <v>9</v>
      </c>
      <c r="D28" s="2">
        <v>79</v>
      </c>
      <c r="E28" s="2">
        <v>81</v>
      </c>
      <c r="F28" s="2">
        <v>78</v>
      </c>
      <c r="G28" s="2">
        <v>80</v>
      </c>
      <c r="H28" s="2">
        <v>64</v>
      </c>
      <c r="I28" s="2">
        <v>75</v>
      </c>
      <c r="J28" s="2">
        <v>90</v>
      </c>
      <c r="K28" s="4">
        <f t="shared" si="0"/>
        <v>457</v>
      </c>
      <c r="L28" s="4">
        <f t="shared" si="1"/>
        <v>64</v>
      </c>
      <c r="M28" s="4">
        <f t="shared" si="2"/>
        <v>81</v>
      </c>
      <c r="N28" s="5">
        <f t="shared" si="3"/>
        <v>76.166666666666671</v>
      </c>
      <c r="O28" s="5">
        <f t="shared" si="4"/>
        <v>76.166666666666671</v>
      </c>
      <c r="P28" s="5" t="str">
        <f t="shared" si="5"/>
        <v>Pass</v>
      </c>
      <c r="Q28" s="4" t="str" cm="1">
        <f t="array" ref="Q28">_xlfn.IFS(O28&gt;90,"A+",O28&gt;80,"A",O28&gt;70,"B+",O28&gt;60,"B",O28&gt;50,"C",O28&gt;40,"D")</f>
        <v>B+</v>
      </c>
      <c r="R28" s="4" t="str">
        <f t="shared" si="6"/>
        <v>Ver Good</v>
      </c>
      <c r="S28" s="6">
        <f t="shared" si="7"/>
        <v>20.5</v>
      </c>
    </row>
    <row r="29" spans="1:19" x14ac:dyDescent="0.3">
      <c r="A29" s="2">
        <v>28</v>
      </c>
      <c r="B29" s="2" t="s">
        <v>36</v>
      </c>
      <c r="C29" s="2" t="s">
        <v>9</v>
      </c>
      <c r="D29" s="2">
        <v>63</v>
      </c>
      <c r="E29" s="2">
        <v>67</v>
      </c>
      <c r="F29" s="2">
        <v>61</v>
      </c>
      <c r="G29" s="2">
        <v>65</v>
      </c>
      <c r="H29" s="2">
        <v>80</v>
      </c>
      <c r="I29" s="2">
        <v>69</v>
      </c>
      <c r="J29" s="2">
        <v>85</v>
      </c>
      <c r="K29" s="4">
        <f t="shared" si="0"/>
        <v>405</v>
      </c>
      <c r="L29" s="4">
        <f t="shared" si="1"/>
        <v>61</v>
      </c>
      <c r="M29" s="4">
        <f t="shared" si="2"/>
        <v>80</v>
      </c>
      <c r="N29" s="5">
        <f t="shared" si="3"/>
        <v>67.5</v>
      </c>
      <c r="O29" s="5">
        <f t="shared" si="4"/>
        <v>67.5</v>
      </c>
      <c r="P29" s="5" t="str">
        <f t="shared" si="5"/>
        <v>Pass</v>
      </c>
      <c r="Q29" s="4" t="str" cm="1">
        <f t="array" ref="Q29">_xlfn.IFS(O29&gt;90,"A+",O29&gt;80,"A",O29&gt;70,"B+",O29&gt;60,"B",O29&gt;50,"C",O29&gt;40,"D")</f>
        <v>B</v>
      </c>
      <c r="R29" s="4" t="str">
        <f t="shared" si="6"/>
        <v>Ver Good</v>
      </c>
      <c r="S29" s="6">
        <f t="shared" si="7"/>
        <v>37.5</v>
      </c>
    </row>
    <row r="30" spans="1:19" x14ac:dyDescent="0.3">
      <c r="A30" s="2">
        <v>29</v>
      </c>
      <c r="B30" s="2" t="s">
        <v>37</v>
      </c>
      <c r="C30" s="2" t="s">
        <v>9</v>
      </c>
      <c r="D30" s="2">
        <v>91</v>
      </c>
      <c r="E30" s="2">
        <v>89</v>
      </c>
      <c r="F30" s="2">
        <v>93</v>
      </c>
      <c r="G30" s="2">
        <v>90</v>
      </c>
      <c r="H30" s="2">
        <v>64</v>
      </c>
      <c r="I30" s="2">
        <v>62</v>
      </c>
      <c r="J30" s="2">
        <v>98</v>
      </c>
      <c r="K30" s="4">
        <f t="shared" si="0"/>
        <v>489</v>
      </c>
      <c r="L30" s="4">
        <f t="shared" si="1"/>
        <v>62</v>
      </c>
      <c r="M30" s="4">
        <f t="shared" si="2"/>
        <v>93</v>
      </c>
      <c r="N30" s="5">
        <f t="shared" si="3"/>
        <v>81.5</v>
      </c>
      <c r="O30" s="5">
        <f t="shared" si="4"/>
        <v>81.5</v>
      </c>
      <c r="P30" s="5" t="str">
        <f t="shared" si="5"/>
        <v>Pass</v>
      </c>
      <c r="Q30" s="4" t="str" cm="1">
        <f t="array" ref="Q30">_xlfn.IFS(O30&gt;90,"A+",O30&gt;80,"A",O30&gt;70,"B+",O30&gt;60,"B",O30&gt;50,"C",O30&gt;40,"D")</f>
        <v>A</v>
      </c>
      <c r="R30" s="4" t="str">
        <f t="shared" si="6"/>
        <v>Excellent</v>
      </c>
      <c r="S30" s="6">
        <f t="shared" si="7"/>
        <v>10</v>
      </c>
    </row>
    <row r="31" spans="1:19" x14ac:dyDescent="0.3">
      <c r="A31" s="2">
        <v>30</v>
      </c>
      <c r="B31" s="2" t="s">
        <v>38</v>
      </c>
      <c r="C31" s="2" t="s">
        <v>9</v>
      </c>
      <c r="D31" s="2">
        <v>57</v>
      </c>
      <c r="E31" s="2">
        <v>61</v>
      </c>
      <c r="F31" s="2">
        <v>60</v>
      </c>
      <c r="G31" s="2">
        <v>63</v>
      </c>
      <c r="H31" s="2">
        <v>76</v>
      </c>
      <c r="I31" s="2">
        <v>74</v>
      </c>
      <c r="J31" s="2">
        <v>82</v>
      </c>
      <c r="K31" s="4">
        <f t="shared" si="0"/>
        <v>391</v>
      </c>
      <c r="L31" s="4">
        <f t="shared" si="1"/>
        <v>57</v>
      </c>
      <c r="M31" s="4">
        <f t="shared" si="2"/>
        <v>76</v>
      </c>
      <c r="N31" s="5">
        <f t="shared" si="3"/>
        <v>65.166666666666671</v>
      </c>
      <c r="O31" s="5">
        <f t="shared" si="4"/>
        <v>65.166666666666657</v>
      </c>
      <c r="P31" s="5" t="str">
        <f t="shared" si="5"/>
        <v>Pass</v>
      </c>
      <c r="Q31" s="4" t="str" cm="1">
        <f t="array" ref="Q31">_xlfn.IFS(O31&gt;90,"A+",O31&gt;80,"A",O31&gt;70,"B+",O31&gt;60,"B",O31&gt;50,"C",O31&gt;40,"D")</f>
        <v>B</v>
      </c>
      <c r="R31" s="4" t="str">
        <f t="shared" si="6"/>
        <v>Ver Good</v>
      </c>
      <c r="S31" s="6">
        <f t="shared" si="7"/>
        <v>42.5</v>
      </c>
    </row>
    <row r="32" spans="1:19" x14ac:dyDescent="0.3">
      <c r="A32" s="2">
        <v>31</v>
      </c>
      <c r="B32" s="2" t="s">
        <v>39</v>
      </c>
      <c r="C32" s="2" t="s">
        <v>9</v>
      </c>
      <c r="D32" s="2">
        <v>83</v>
      </c>
      <c r="E32" s="2">
        <v>85</v>
      </c>
      <c r="F32" s="2">
        <v>87</v>
      </c>
      <c r="G32" s="2">
        <v>82</v>
      </c>
      <c r="H32" s="2">
        <v>77</v>
      </c>
      <c r="I32" s="2">
        <v>59</v>
      </c>
      <c r="J32" s="2">
        <v>91</v>
      </c>
      <c r="K32" s="4">
        <f t="shared" si="0"/>
        <v>473</v>
      </c>
      <c r="L32" s="4">
        <f t="shared" si="1"/>
        <v>59</v>
      </c>
      <c r="M32" s="4">
        <f t="shared" si="2"/>
        <v>87</v>
      </c>
      <c r="N32" s="5">
        <f t="shared" si="3"/>
        <v>78.833333333333329</v>
      </c>
      <c r="O32" s="5">
        <f t="shared" si="4"/>
        <v>78.833333333333329</v>
      </c>
      <c r="P32" s="5" t="str">
        <f t="shared" si="5"/>
        <v>Pass</v>
      </c>
      <c r="Q32" s="4" t="str" cm="1">
        <f t="array" ref="Q32">_xlfn.IFS(O32&gt;90,"A+",O32&gt;80,"A",O32&gt;70,"B+",O32&gt;60,"B",O32&gt;50,"C",O32&gt;40,"D")</f>
        <v>B+</v>
      </c>
      <c r="R32" s="4" t="str">
        <f t="shared" si="6"/>
        <v>Excellent</v>
      </c>
      <c r="S32" s="6">
        <f t="shared" si="7"/>
        <v>14</v>
      </c>
    </row>
    <row r="33" spans="1:19" x14ac:dyDescent="0.3">
      <c r="A33" s="2">
        <v>32</v>
      </c>
      <c r="B33" s="2" t="s">
        <v>40</v>
      </c>
      <c r="C33" s="2" t="s">
        <v>9</v>
      </c>
      <c r="D33" s="2">
        <v>68</v>
      </c>
      <c r="E33" s="2">
        <v>70</v>
      </c>
      <c r="F33" s="2">
        <v>66</v>
      </c>
      <c r="G33" s="2">
        <v>72</v>
      </c>
      <c r="H33" s="2">
        <v>79</v>
      </c>
      <c r="I33" s="2">
        <v>74</v>
      </c>
      <c r="J33" s="2">
        <v>86</v>
      </c>
      <c r="K33" s="4">
        <f t="shared" si="0"/>
        <v>429</v>
      </c>
      <c r="L33" s="4">
        <f t="shared" si="1"/>
        <v>66</v>
      </c>
      <c r="M33" s="4">
        <f t="shared" si="2"/>
        <v>79</v>
      </c>
      <c r="N33" s="5">
        <f t="shared" si="3"/>
        <v>71.5</v>
      </c>
      <c r="O33" s="5">
        <f t="shared" si="4"/>
        <v>71.5</v>
      </c>
      <c r="P33" s="5" t="str">
        <f t="shared" si="5"/>
        <v>Pass</v>
      </c>
      <c r="Q33" s="4" t="str" cm="1">
        <f t="array" ref="Q33">_xlfn.IFS(O33&gt;90,"A+",O33&gt;80,"A",O33&gt;70,"B+",O33&gt;60,"B",O33&gt;50,"C",O33&gt;40,"D")</f>
        <v>B+</v>
      </c>
      <c r="R33" s="4" t="str">
        <f t="shared" si="6"/>
        <v>Ver Good</v>
      </c>
      <c r="S33" s="6">
        <f t="shared" si="7"/>
        <v>29</v>
      </c>
    </row>
    <row r="34" spans="1:19" x14ac:dyDescent="0.3">
      <c r="A34" s="2">
        <v>33</v>
      </c>
      <c r="B34" s="2" t="s">
        <v>41</v>
      </c>
      <c r="C34" s="2" t="s">
        <v>9</v>
      </c>
      <c r="D34" s="2">
        <v>74</v>
      </c>
      <c r="E34" s="2">
        <v>76</v>
      </c>
      <c r="F34" s="2">
        <v>78</v>
      </c>
      <c r="G34" s="2">
        <v>80</v>
      </c>
      <c r="H34" s="2">
        <v>56</v>
      </c>
      <c r="I34" s="2">
        <v>68</v>
      </c>
      <c r="J34" s="2">
        <v>89</v>
      </c>
      <c r="K34" s="4">
        <f t="shared" si="0"/>
        <v>432</v>
      </c>
      <c r="L34" s="4">
        <f t="shared" si="1"/>
        <v>56</v>
      </c>
      <c r="M34" s="4">
        <f t="shared" si="2"/>
        <v>80</v>
      </c>
      <c r="N34" s="5">
        <f t="shared" si="3"/>
        <v>72</v>
      </c>
      <c r="O34" s="5">
        <f t="shared" si="4"/>
        <v>72</v>
      </c>
      <c r="P34" s="5" t="str">
        <f t="shared" si="5"/>
        <v>Pass</v>
      </c>
      <c r="Q34" s="4" t="str" cm="1">
        <f t="array" ref="Q34">_xlfn.IFS(O34&gt;90,"A+",O34&gt;80,"A",O34&gt;70,"B+",O34&gt;60,"B",O34&gt;50,"C",O34&gt;40,"D")</f>
        <v>B+</v>
      </c>
      <c r="R34" s="4" t="str">
        <f t="shared" si="6"/>
        <v>Ver Good</v>
      </c>
      <c r="S34" s="6">
        <f t="shared" si="7"/>
        <v>28</v>
      </c>
    </row>
    <row r="35" spans="1:19" x14ac:dyDescent="0.3">
      <c r="A35" s="2">
        <v>34</v>
      </c>
      <c r="B35" s="2" t="s">
        <v>42</v>
      </c>
      <c r="C35" s="2" t="s">
        <v>9</v>
      </c>
      <c r="D35" s="2">
        <v>92</v>
      </c>
      <c r="E35" s="2">
        <v>94</v>
      </c>
      <c r="F35" s="2">
        <v>90</v>
      </c>
      <c r="G35" s="2">
        <v>93</v>
      </c>
      <c r="H35" s="2">
        <v>55</v>
      </c>
      <c r="I35" s="2">
        <v>79</v>
      </c>
      <c r="J35" s="2">
        <v>97</v>
      </c>
      <c r="K35" s="4">
        <f t="shared" si="0"/>
        <v>503</v>
      </c>
      <c r="L35" s="4">
        <f t="shared" si="1"/>
        <v>55</v>
      </c>
      <c r="M35" s="4">
        <f t="shared" si="2"/>
        <v>94</v>
      </c>
      <c r="N35" s="5">
        <f t="shared" si="3"/>
        <v>83.833333333333329</v>
      </c>
      <c r="O35" s="5">
        <f t="shared" si="4"/>
        <v>83.833333333333343</v>
      </c>
      <c r="P35" s="5" t="str">
        <f t="shared" si="5"/>
        <v>Pass</v>
      </c>
      <c r="Q35" s="4" t="str" cm="1">
        <f t="array" ref="Q35">_xlfn.IFS(O35&gt;90,"A+",O35&gt;80,"A",O35&gt;70,"B+",O35&gt;60,"B",O35&gt;50,"C",O35&gt;40,"D")</f>
        <v>A</v>
      </c>
      <c r="R35" s="4" t="str">
        <f t="shared" si="6"/>
        <v>Excellent</v>
      </c>
      <c r="S35" s="6">
        <f t="shared" si="7"/>
        <v>3</v>
      </c>
    </row>
    <row r="36" spans="1:19" x14ac:dyDescent="0.3">
      <c r="A36" s="2">
        <v>35</v>
      </c>
      <c r="B36" s="2" t="s">
        <v>43</v>
      </c>
      <c r="C36" s="2" t="s">
        <v>9</v>
      </c>
      <c r="D36" s="2">
        <v>80</v>
      </c>
      <c r="E36" s="2">
        <v>83</v>
      </c>
      <c r="F36" s="2">
        <v>81</v>
      </c>
      <c r="G36" s="2">
        <v>84</v>
      </c>
      <c r="H36" s="2">
        <v>60</v>
      </c>
      <c r="I36" s="2">
        <v>64</v>
      </c>
      <c r="J36" s="2">
        <v>92</v>
      </c>
      <c r="K36" s="4">
        <f t="shared" si="0"/>
        <v>452</v>
      </c>
      <c r="L36" s="4">
        <f t="shared" si="1"/>
        <v>60</v>
      </c>
      <c r="M36" s="4">
        <f t="shared" si="2"/>
        <v>84</v>
      </c>
      <c r="N36" s="5">
        <f t="shared" si="3"/>
        <v>75.333333333333329</v>
      </c>
      <c r="O36" s="5">
        <f t="shared" si="4"/>
        <v>75.333333333333329</v>
      </c>
      <c r="P36" s="5" t="str">
        <f t="shared" si="5"/>
        <v>Pass</v>
      </c>
      <c r="Q36" s="4" t="str" cm="1">
        <f t="array" ref="Q36">_xlfn.IFS(O36&gt;90,"A+",O36&gt;80,"A",O36&gt;70,"B+",O36&gt;60,"B",O36&gt;50,"C",O36&gt;40,"D")</f>
        <v>B+</v>
      </c>
      <c r="R36" s="4" t="str">
        <f t="shared" si="6"/>
        <v>Excellent</v>
      </c>
      <c r="S36" s="6">
        <f t="shared" si="7"/>
        <v>22</v>
      </c>
    </row>
    <row r="37" spans="1:19" x14ac:dyDescent="0.3">
      <c r="A37" s="2">
        <v>36</v>
      </c>
      <c r="B37" s="2" t="s">
        <v>44</v>
      </c>
      <c r="C37" s="2" t="s">
        <v>9</v>
      </c>
      <c r="D37" s="2">
        <v>65</v>
      </c>
      <c r="E37" s="2">
        <v>70</v>
      </c>
      <c r="F37" s="2">
        <v>68</v>
      </c>
      <c r="G37" s="2">
        <v>72</v>
      </c>
      <c r="H37" s="2">
        <v>63</v>
      </c>
      <c r="I37" s="2">
        <v>55</v>
      </c>
      <c r="J37" s="2">
        <v>87</v>
      </c>
      <c r="K37" s="4">
        <f t="shared" si="0"/>
        <v>393</v>
      </c>
      <c r="L37" s="4">
        <f t="shared" si="1"/>
        <v>55</v>
      </c>
      <c r="M37" s="4">
        <f t="shared" si="2"/>
        <v>72</v>
      </c>
      <c r="N37" s="5">
        <f t="shared" si="3"/>
        <v>65.5</v>
      </c>
      <c r="O37" s="5">
        <f t="shared" si="4"/>
        <v>65.5</v>
      </c>
      <c r="P37" s="5" t="str">
        <f t="shared" si="5"/>
        <v>Pass</v>
      </c>
      <c r="Q37" s="4" t="str" cm="1">
        <f t="array" ref="Q37">_xlfn.IFS(O37&gt;90,"A+",O37&gt;80,"A",O37&gt;70,"B+",O37&gt;60,"B",O37&gt;50,"C",O37&gt;40,"D")</f>
        <v>B</v>
      </c>
      <c r="R37" s="4" t="str">
        <f t="shared" si="6"/>
        <v>Ver Good</v>
      </c>
      <c r="S37" s="6">
        <f t="shared" si="7"/>
        <v>39</v>
      </c>
    </row>
    <row r="38" spans="1:19" x14ac:dyDescent="0.3">
      <c r="A38" s="2">
        <v>37</v>
      </c>
      <c r="B38" s="2" t="s">
        <v>45</v>
      </c>
      <c r="C38" s="2" t="s">
        <v>9</v>
      </c>
      <c r="D38" s="2">
        <v>50</v>
      </c>
      <c r="E38" s="2">
        <v>55</v>
      </c>
      <c r="F38" s="2">
        <v>58</v>
      </c>
      <c r="G38" s="2">
        <v>60</v>
      </c>
      <c r="H38" s="2">
        <v>64</v>
      </c>
      <c r="I38" s="2">
        <v>71</v>
      </c>
      <c r="J38" s="2">
        <v>79</v>
      </c>
      <c r="K38" s="4">
        <f t="shared" si="0"/>
        <v>358</v>
      </c>
      <c r="L38" s="4">
        <f t="shared" si="1"/>
        <v>50</v>
      </c>
      <c r="M38" s="4">
        <f t="shared" si="2"/>
        <v>71</v>
      </c>
      <c r="N38" s="5">
        <f t="shared" si="3"/>
        <v>59.666666666666664</v>
      </c>
      <c r="O38" s="5">
        <f t="shared" si="4"/>
        <v>59.666666666666671</v>
      </c>
      <c r="P38" s="5" t="str">
        <f t="shared" si="5"/>
        <v>Pass</v>
      </c>
      <c r="Q38" s="4" t="str" cm="1">
        <f t="array" ref="Q38">_xlfn.IFS(O38&gt;90,"A+",O38&gt;80,"A",O38&gt;70,"B+",O38&gt;60,"B",O38&gt;50,"C",O38&gt;40,"D")</f>
        <v>C</v>
      </c>
      <c r="R38" s="4" t="str">
        <f t="shared" si="6"/>
        <v>Need Imporvement</v>
      </c>
      <c r="S38" s="6">
        <f t="shared" si="7"/>
        <v>48</v>
      </c>
    </row>
    <row r="39" spans="1:19" x14ac:dyDescent="0.3">
      <c r="A39" s="2">
        <v>38</v>
      </c>
      <c r="B39" s="2" t="s">
        <v>46</v>
      </c>
      <c r="C39" s="2" t="s">
        <v>9</v>
      </c>
      <c r="D39" s="2">
        <v>89</v>
      </c>
      <c r="E39" s="2">
        <v>90</v>
      </c>
      <c r="F39" s="2">
        <v>92</v>
      </c>
      <c r="G39" s="2">
        <v>91</v>
      </c>
      <c r="H39" s="2">
        <v>62</v>
      </c>
      <c r="I39" s="2">
        <v>77</v>
      </c>
      <c r="J39" s="2">
        <v>96</v>
      </c>
      <c r="K39" s="4">
        <f t="shared" si="0"/>
        <v>501</v>
      </c>
      <c r="L39" s="4">
        <f t="shared" si="1"/>
        <v>62</v>
      </c>
      <c r="M39" s="4">
        <f t="shared" si="2"/>
        <v>92</v>
      </c>
      <c r="N39" s="5">
        <f t="shared" si="3"/>
        <v>83.5</v>
      </c>
      <c r="O39" s="5">
        <f t="shared" si="4"/>
        <v>83.5</v>
      </c>
      <c r="P39" s="5" t="str">
        <f t="shared" si="5"/>
        <v>Pass</v>
      </c>
      <c r="Q39" s="4" t="str" cm="1">
        <f t="array" ref="Q39">_xlfn.IFS(O39&gt;90,"A+",O39&gt;80,"A",O39&gt;70,"B+",O39&gt;60,"B",O39&gt;50,"C",O39&gt;40,"D")</f>
        <v>A</v>
      </c>
      <c r="R39" s="4" t="str">
        <f t="shared" si="6"/>
        <v>Excellent</v>
      </c>
      <c r="S39" s="6">
        <f t="shared" si="7"/>
        <v>4</v>
      </c>
    </row>
    <row r="40" spans="1:19" x14ac:dyDescent="0.3">
      <c r="A40" s="2">
        <v>39</v>
      </c>
      <c r="B40" s="2" t="s">
        <v>47</v>
      </c>
      <c r="C40" s="2" t="s">
        <v>9</v>
      </c>
      <c r="D40" s="2">
        <v>76</v>
      </c>
      <c r="E40" s="2">
        <v>79</v>
      </c>
      <c r="F40" s="2">
        <v>74</v>
      </c>
      <c r="G40" s="2">
        <v>78</v>
      </c>
      <c r="H40" s="2">
        <v>63</v>
      </c>
      <c r="I40" s="2">
        <v>67</v>
      </c>
      <c r="J40" s="2">
        <v>88</v>
      </c>
      <c r="K40" s="4">
        <f t="shared" si="0"/>
        <v>437</v>
      </c>
      <c r="L40" s="4">
        <f t="shared" si="1"/>
        <v>63</v>
      </c>
      <c r="M40" s="4">
        <f t="shared" si="2"/>
        <v>79</v>
      </c>
      <c r="N40" s="5">
        <f t="shared" si="3"/>
        <v>72.833333333333329</v>
      </c>
      <c r="O40" s="5">
        <f t="shared" si="4"/>
        <v>72.833333333333343</v>
      </c>
      <c r="P40" s="5" t="str">
        <f t="shared" si="5"/>
        <v>Pass</v>
      </c>
      <c r="Q40" s="4" t="str" cm="1">
        <f t="array" ref="Q40">_xlfn.IFS(O40&gt;90,"A+",O40&gt;80,"A",O40&gt;70,"B+",O40&gt;60,"B",O40&gt;50,"C",O40&gt;40,"D")</f>
        <v>B+</v>
      </c>
      <c r="R40" s="4" t="str">
        <f t="shared" si="6"/>
        <v>Ver Good</v>
      </c>
      <c r="S40" s="6">
        <f t="shared" si="7"/>
        <v>25</v>
      </c>
    </row>
    <row r="41" spans="1:19" x14ac:dyDescent="0.3">
      <c r="A41" s="2">
        <v>40</v>
      </c>
      <c r="B41" s="2" t="s">
        <v>48</v>
      </c>
      <c r="C41" s="2" t="s">
        <v>9</v>
      </c>
      <c r="D41" s="2">
        <v>84</v>
      </c>
      <c r="E41" s="2">
        <v>86</v>
      </c>
      <c r="F41" s="2">
        <v>82</v>
      </c>
      <c r="G41" s="2">
        <v>85</v>
      </c>
      <c r="H41" s="2">
        <v>67</v>
      </c>
      <c r="I41" s="2">
        <v>65</v>
      </c>
      <c r="J41" s="2">
        <v>93</v>
      </c>
      <c r="K41" s="4">
        <f t="shared" si="0"/>
        <v>469</v>
      </c>
      <c r="L41" s="4">
        <f t="shared" si="1"/>
        <v>65</v>
      </c>
      <c r="M41" s="4">
        <f t="shared" si="2"/>
        <v>86</v>
      </c>
      <c r="N41" s="5">
        <f t="shared" si="3"/>
        <v>78.166666666666671</v>
      </c>
      <c r="O41" s="5">
        <f t="shared" si="4"/>
        <v>78.166666666666657</v>
      </c>
      <c r="P41" s="5" t="str">
        <f t="shared" si="5"/>
        <v>Pass</v>
      </c>
      <c r="Q41" s="4" t="str" cm="1">
        <f t="array" ref="Q41">_xlfn.IFS(O41&gt;90,"A+",O41&gt;80,"A",O41&gt;70,"B+",O41&gt;60,"B",O41&gt;50,"C",O41&gt;40,"D")</f>
        <v>B+</v>
      </c>
      <c r="R41" s="4" t="str">
        <f t="shared" si="6"/>
        <v>Excellent</v>
      </c>
      <c r="S41" s="6">
        <f t="shared" si="7"/>
        <v>16.5</v>
      </c>
    </row>
    <row r="42" spans="1:19" x14ac:dyDescent="0.3">
      <c r="A42" s="2">
        <v>41</v>
      </c>
      <c r="B42" s="2" t="s">
        <v>49</v>
      </c>
      <c r="C42" s="2" t="s">
        <v>9</v>
      </c>
      <c r="D42" s="2">
        <v>71</v>
      </c>
      <c r="E42" s="2">
        <v>75</v>
      </c>
      <c r="F42" s="2">
        <v>70</v>
      </c>
      <c r="G42" s="2">
        <v>73</v>
      </c>
      <c r="H42" s="2">
        <v>66</v>
      </c>
      <c r="I42" s="2">
        <v>67</v>
      </c>
      <c r="J42" s="2">
        <v>87</v>
      </c>
      <c r="K42" s="4">
        <f t="shared" si="0"/>
        <v>422</v>
      </c>
      <c r="L42" s="4">
        <f t="shared" si="1"/>
        <v>66</v>
      </c>
      <c r="M42" s="4">
        <f t="shared" si="2"/>
        <v>75</v>
      </c>
      <c r="N42" s="5">
        <f t="shared" si="3"/>
        <v>70.333333333333329</v>
      </c>
      <c r="O42" s="5">
        <f t="shared" si="4"/>
        <v>70.333333333333343</v>
      </c>
      <c r="P42" s="5" t="str">
        <f t="shared" si="5"/>
        <v>Pass</v>
      </c>
      <c r="Q42" s="4" t="str" cm="1">
        <f t="array" ref="Q42">_xlfn.IFS(O42&gt;90,"A+",O42&gt;80,"A",O42&gt;70,"B+",O42&gt;60,"B",O42&gt;50,"C",O42&gt;40,"D")</f>
        <v>B+</v>
      </c>
      <c r="R42" s="4" t="str">
        <f t="shared" si="6"/>
        <v>Ver Good</v>
      </c>
      <c r="S42" s="6">
        <f t="shared" si="7"/>
        <v>32</v>
      </c>
    </row>
    <row r="43" spans="1:19" x14ac:dyDescent="0.3">
      <c r="A43" s="2">
        <v>42</v>
      </c>
      <c r="B43" s="2" t="s">
        <v>50</v>
      </c>
      <c r="C43" s="2" t="s">
        <v>9</v>
      </c>
      <c r="D43" s="2">
        <v>95</v>
      </c>
      <c r="E43" s="2">
        <v>94</v>
      </c>
      <c r="F43" s="2">
        <v>96</v>
      </c>
      <c r="G43" s="2">
        <v>93</v>
      </c>
      <c r="H43" s="2">
        <v>78</v>
      </c>
      <c r="I43" s="2">
        <v>80</v>
      </c>
      <c r="J43" s="2">
        <v>99</v>
      </c>
      <c r="K43" s="4">
        <f t="shared" si="0"/>
        <v>536</v>
      </c>
      <c r="L43" s="4">
        <f t="shared" si="1"/>
        <v>78</v>
      </c>
      <c r="M43" s="4">
        <f t="shared" si="2"/>
        <v>96</v>
      </c>
      <c r="N43" s="5">
        <f t="shared" si="3"/>
        <v>89.333333333333329</v>
      </c>
      <c r="O43" s="5">
        <f t="shared" si="4"/>
        <v>89.333333333333329</v>
      </c>
      <c r="P43" s="5" t="str">
        <f t="shared" si="5"/>
        <v>Pass</v>
      </c>
      <c r="Q43" s="4" t="str" cm="1">
        <f t="array" ref="Q43">_xlfn.IFS(O43&gt;90,"A+",O43&gt;80,"A",O43&gt;70,"B+",O43&gt;60,"B",O43&gt;50,"C",O43&gt;40,"D")</f>
        <v>A</v>
      </c>
      <c r="R43" s="4" t="str">
        <f t="shared" si="6"/>
        <v>Excellent</v>
      </c>
      <c r="S43" s="6">
        <f t="shared" si="7"/>
        <v>1</v>
      </c>
    </row>
    <row r="44" spans="1:19" x14ac:dyDescent="0.3">
      <c r="A44" s="2">
        <v>43</v>
      </c>
      <c r="B44" s="2" t="s">
        <v>51</v>
      </c>
      <c r="C44" s="2" t="s">
        <v>9</v>
      </c>
      <c r="D44" s="2">
        <v>62</v>
      </c>
      <c r="E44" s="2">
        <v>65</v>
      </c>
      <c r="F44" s="2">
        <v>63</v>
      </c>
      <c r="G44" s="2">
        <v>68</v>
      </c>
      <c r="H44" s="2">
        <v>56</v>
      </c>
      <c r="I44" s="2">
        <v>78</v>
      </c>
      <c r="J44" s="2">
        <v>84</v>
      </c>
      <c r="K44" s="4">
        <f t="shared" si="0"/>
        <v>392</v>
      </c>
      <c r="L44" s="4">
        <f t="shared" si="1"/>
        <v>56</v>
      </c>
      <c r="M44" s="4">
        <f t="shared" si="2"/>
        <v>78</v>
      </c>
      <c r="N44" s="5">
        <f t="shared" si="3"/>
        <v>65.333333333333329</v>
      </c>
      <c r="O44" s="5">
        <f t="shared" si="4"/>
        <v>65.333333333333329</v>
      </c>
      <c r="P44" s="5" t="str">
        <f t="shared" si="5"/>
        <v>Pass</v>
      </c>
      <c r="Q44" s="4" t="str" cm="1">
        <f t="array" ref="Q44">_xlfn.IFS(O44&gt;90,"A+",O44&gt;80,"A",O44&gt;70,"B+",O44&gt;60,"B",O44&gt;50,"C",O44&gt;40,"D")</f>
        <v>B</v>
      </c>
      <c r="R44" s="4" t="str">
        <f t="shared" si="6"/>
        <v>Ver Good</v>
      </c>
      <c r="S44" s="6">
        <f t="shared" si="7"/>
        <v>40.5</v>
      </c>
    </row>
    <row r="45" spans="1:19" x14ac:dyDescent="0.3">
      <c r="A45" s="2">
        <v>44</v>
      </c>
      <c r="B45" s="2" t="s">
        <v>52</v>
      </c>
      <c r="C45" s="2" t="s">
        <v>9</v>
      </c>
      <c r="D45" s="2">
        <v>78</v>
      </c>
      <c r="E45" s="2">
        <v>80</v>
      </c>
      <c r="F45" s="2">
        <v>77</v>
      </c>
      <c r="G45" s="2">
        <v>79</v>
      </c>
      <c r="H45" s="2">
        <v>67</v>
      </c>
      <c r="I45" s="2">
        <v>67</v>
      </c>
      <c r="J45" s="2">
        <v>90</v>
      </c>
      <c r="K45" s="4">
        <f t="shared" si="0"/>
        <v>448</v>
      </c>
      <c r="L45" s="4">
        <f t="shared" si="1"/>
        <v>67</v>
      </c>
      <c r="M45" s="4">
        <f t="shared" si="2"/>
        <v>80</v>
      </c>
      <c r="N45" s="5">
        <f t="shared" si="3"/>
        <v>74.666666666666671</v>
      </c>
      <c r="O45" s="5">
        <f t="shared" si="4"/>
        <v>74.666666666666671</v>
      </c>
      <c r="P45" s="5" t="str">
        <f t="shared" si="5"/>
        <v>Pass</v>
      </c>
      <c r="Q45" s="4" t="str" cm="1">
        <f t="array" ref="Q45">_xlfn.IFS(O45&gt;90,"A+",O45&gt;80,"A",O45&gt;70,"B+",O45&gt;60,"B",O45&gt;50,"C",O45&gt;40,"D")</f>
        <v>B+</v>
      </c>
      <c r="R45" s="4" t="str">
        <f t="shared" si="6"/>
        <v>Ver Good</v>
      </c>
      <c r="S45" s="6">
        <f t="shared" si="7"/>
        <v>23</v>
      </c>
    </row>
    <row r="46" spans="1:19" x14ac:dyDescent="0.3">
      <c r="A46" s="2">
        <v>45</v>
      </c>
      <c r="B46" s="2" t="s">
        <v>53</v>
      </c>
      <c r="C46" s="2" t="s">
        <v>9</v>
      </c>
      <c r="D46" s="2">
        <v>88</v>
      </c>
      <c r="E46" s="2">
        <v>85</v>
      </c>
      <c r="F46" s="2">
        <v>87</v>
      </c>
      <c r="G46" s="2">
        <v>90</v>
      </c>
      <c r="H46" s="2">
        <v>57</v>
      </c>
      <c r="I46" s="2">
        <v>71</v>
      </c>
      <c r="J46" s="2">
        <v>94</v>
      </c>
      <c r="K46" s="4">
        <f t="shared" si="0"/>
        <v>478</v>
      </c>
      <c r="L46" s="4">
        <f t="shared" si="1"/>
        <v>57</v>
      </c>
      <c r="M46" s="4">
        <f t="shared" si="2"/>
        <v>90</v>
      </c>
      <c r="N46" s="5">
        <f t="shared" si="3"/>
        <v>79.666666666666671</v>
      </c>
      <c r="O46" s="5">
        <f t="shared" si="4"/>
        <v>79.666666666666657</v>
      </c>
      <c r="P46" s="5" t="str">
        <f t="shared" si="5"/>
        <v>Pass</v>
      </c>
      <c r="Q46" s="4" t="str" cm="1">
        <f t="array" ref="Q46">_xlfn.IFS(O46&gt;90,"A+",O46&gt;80,"A",O46&gt;70,"B+",O46&gt;60,"B",O46&gt;50,"C",O46&gt;40,"D")</f>
        <v>B+</v>
      </c>
      <c r="R46" s="4" t="str">
        <f t="shared" si="6"/>
        <v>Excellent</v>
      </c>
      <c r="S46" s="6">
        <f t="shared" si="7"/>
        <v>12</v>
      </c>
    </row>
    <row r="47" spans="1:19" x14ac:dyDescent="0.3">
      <c r="A47" s="2">
        <v>46</v>
      </c>
      <c r="B47" s="2" t="s">
        <v>54</v>
      </c>
      <c r="C47" s="2" t="s">
        <v>9</v>
      </c>
      <c r="D47" s="2">
        <v>59</v>
      </c>
      <c r="E47" s="2">
        <v>63</v>
      </c>
      <c r="F47" s="2">
        <v>61</v>
      </c>
      <c r="G47" s="2">
        <v>65</v>
      </c>
      <c r="H47" s="2">
        <v>60</v>
      </c>
      <c r="I47" s="2">
        <v>76</v>
      </c>
      <c r="J47" s="2">
        <v>82</v>
      </c>
      <c r="K47" s="4">
        <f t="shared" si="0"/>
        <v>384</v>
      </c>
      <c r="L47" s="4">
        <f t="shared" si="1"/>
        <v>59</v>
      </c>
      <c r="M47" s="4">
        <f t="shared" si="2"/>
        <v>76</v>
      </c>
      <c r="N47" s="5">
        <f t="shared" si="3"/>
        <v>64</v>
      </c>
      <c r="O47" s="5">
        <f t="shared" si="4"/>
        <v>64</v>
      </c>
      <c r="P47" s="5" t="str">
        <f t="shared" si="5"/>
        <v>Pass</v>
      </c>
      <c r="Q47" s="4" t="str" cm="1">
        <f t="array" ref="Q47">_xlfn.IFS(O47&gt;90,"A+",O47&gt;80,"A",O47&gt;70,"B+",O47&gt;60,"B",O47&gt;50,"C",O47&gt;40,"D")</f>
        <v>B</v>
      </c>
      <c r="R47" s="4" t="str">
        <f t="shared" si="6"/>
        <v>Ver Good</v>
      </c>
      <c r="S47" s="6">
        <f t="shared" si="7"/>
        <v>44</v>
      </c>
    </row>
    <row r="48" spans="1:19" x14ac:dyDescent="0.3">
      <c r="A48" s="2">
        <v>47</v>
      </c>
      <c r="B48" s="2" t="s">
        <v>55</v>
      </c>
      <c r="C48" s="2" t="s">
        <v>9</v>
      </c>
      <c r="D48" s="2">
        <v>82</v>
      </c>
      <c r="E48" s="2">
        <v>80</v>
      </c>
      <c r="F48" s="2">
        <v>84</v>
      </c>
      <c r="G48" s="2">
        <v>86</v>
      </c>
      <c r="H48" s="2">
        <v>75</v>
      </c>
      <c r="I48" s="2">
        <v>55</v>
      </c>
      <c r="J48" s="2">
        <v>91</v>
      </c>
      <c r="K48" s="4">
        <f t="shared" si="0"/>
        <v>462</v>
      </c>
      <c r="L48" s="4">
        <f t="shared" si="1"/>
        <v>55</v>
      </c>
      <c r="M48" s="4">
        <f t="shared" si="2"/>
        <v>86</v>
      </c>
      <c r="N48" s="5">
        <f t="shared" si="3"/>
        <v>77</v>
      </c>
      <c r="O48" s="5">
        <f t="shared" si="4"/>
        <v>77</v>
      </c>
      <c r="P48" s="5" t="str">
        <f t="shared" si="5"/>
        <v>Pass</v>
      </c>
      <c r="Q48" s="4" t="str" cm="1">
        <f t="array" ref="Q48">_xlfn.IFS(O48&gt;90,"A+",O48&gt;80,"A",O48&gt;70,"B+",O48&gt;60,"B",O48&gt;50,"C",O48&gt;40,"D")</f>
        <v>B+</v>
      </c>
      <c r="R48" s="4" t="str">
        <f t="shared" si="6"/>
        <v>Excellent</v>
      </c>
      <c r="S48" s="6">
        <f t="shared" si="7"/>
        <v>18</v>
      </c>
    </row>
    <row r="49" spans="1:19" x14ac:dyDescent="0.3">
      <c r="A49" s="2">
        <v>48</v>
      </c>
      <c r="B49" s="2" t="s">
        <v>56</v>
      </c>
      <c r="C49" s="2" t="s">
        <v>9</v>
      </c>
      <c r="D49" s="2">
        <v>73</v>
      </c>
      <c r="E49" s="2">
        <v>75</v>
      </c>
      <c r="F49" s="2">
        <v>70</v>
      </c>
      <c r="G49" s="2">
        <v>72</v>
      </c>
      <c r="H49" s="2">
        <v>68</v>
      </c>
      <c r="I49" s="2">
        <v>60</v>
      </c>
      <c r="J49" s="2">
        <v>88</v>
      </c>
      <c r="K49" s="4">
        <f t="shared" si="0"/>
        <v>418</v>
      </c>
      <c r="L49" s="4">
        <f t="shared" si="1"/>
        <v>60</v>
      </c>
      <c r="M49" s="4">
        <f t="shared" si="2"/>
        <v>75</v>
      </c>
      <c r="N49" s="5">
        <f t="shared" si="3"/>
        <v>69.666666666666671</v>
      </c>
      <c r="O49" s="5">
        <f t="shared" si="4"/>
        <v>69.666666666666671</v>
      </c>
      <c r="P49" s="5" t="str">
        <f t="shared" si="5"/>
        <v>Pass</v>
      </c>
      <c r="Q49" s="4" t="str" cm="1">
        <f t="array" ref="Q49">_xlfn.IFS(O49&gt;90,"A+",O49&gt;80,"A",O49&gt;70,"B+",O49&gt;60,"B",O49&gt;50,"C",O49&gt;40,"D")</f>
        <v>B</v>
      </c>
      <c r="R49" s="4" t="str">
        <f t="shared" si="6"/>
        <v>Ver Good</v>
      </c>
      <c r="S49" s="6">
        <f t="shared" si="7"/>
        <v>34.5</v>
      </c>
    </row>
    <row r="50" spans="1:19" x14ac:dyDescent="0.3">
      <c r="A50" s="2">
        <v>49</v>
      </c>
      <c r="B50" s="2" t="s">
        <v>57</v>
      </c>
      <c r="C50" s="2" t="s">
        <v>9</v>
      </c>
      <c r="D50" s="2">
        <v>66</v>
      </c>
      <c r="E50" s="2">
        <v>70</v>
      </c>
      <c r="F50" s="2">
        <v>68</v>
      </c>
      <c r="G50" s="2">
        <v>71</v>
      </c>
      <c r="H50" s="2">
        <v>80</v>
      </c>
      <c r="I50" s="2">
        <v>72</v>
      </c>
      <c r="J50" s="2">
        <v>85</v>
      </c>
      <c r="K50" s="4">
        <f t="shared" si="0"/>
        <v>427</v>
      </c>
      <c r="L50" s="4">
        <f t="shared" si="1"/>
        <v>66</v>
      </c>
      <c r="M50" s="4">
        <f t="shared" si="2"/>
        <v>80</v>
      </c>
      <c r="N50" s="5">
        <f t="shared" si="3"/>
        <v>71.166666666666671</v>
      </c>
      <c r="O50" s="5">
        <f t="shared" si="4"/>
        <v>71.166666666666671</v>
      </c>
      <c r="P50" s="5" t="str">
        <f t="shared" si="5"/>
        <v>Pass</v>
      </c>
      <c r="Q50" s="4" t="str" cm="1">
        <f t="array" ref="Q50">_xlfn.IFS(O50&gt;90,"A+",O50&gt;80,"A",O50&gt;70,"B+",O50&gt;60,"B",O50&gt;50,"C",O50&gt;40,"D")</f>
        <v>B+</v>
      </c>
      <c r="R50" s="4" t="str">
        <f t="shared" si="6"/>
        <v>Ver Good</v>
      </c>
      <c r="S50" s="6">
        <f t="shared" si="7"/>
        <v>30</v>
      </c>
    </row>
    <row r="51" spans="1:19" x14ac:dyDescent="0.3">
      <c r="A51" s="2">
        <v>50</v>
      </c>
      <c r="B51" s="2" t="s">
        <v>58</v>
      </c>
      <c r="C51" s="2" t="s">
        <v>9</v>
      </c>
      <c r="D51" s="2">
        <v>90</v>
      </c>
      <c r="E51" s="2">
        <v>92</v>
      </c>
      <c r="F51" s="2">
        <v>89</v>
      </c>
      <c r="G51" s="2">
        <v>94</v>
      </c>
      <c r="H51" s="2">
        <v>71</v>
      </c>
      <c r="I51" s="2">
        <v>60</v>
      </c>
      <c r="J51" s="2">
        <v>97</v>
      </c>
      <c r="K51" s="4">
        <f t="shared" si="0"/>
        <v>496</v>
      </c>
      <c r="L51" s="4">
        <f t="shared" si="1"/>
        <v>60</v>
      </c>
      <c r="M51" s="4">
        <f t="shared" si="2"/>
        <v>94</v>
      </c>
      <c r="N51" s="5">
        <f t="shared" si="3"/>
        <v>82.666666666666671</v>
      </c>
      <c r="O51" s="5">
        <f t="shared" si="4"/>
        <v>82.666666666666671</v>
      </c>
      <c r="P51" s="5" t="str">
        <f t="shared" si="5"/>
        <v>Pass</v>
      </c>
      <c r="Q51" s="4" t="str" cm="1">
        <f t="array" ref="Q51">_xlfn.IFS(O51&gt;90,"A+",O51&gt;80,"A",O51&gt;70,"B+",O51&gt;60,"B",O51&gt;50,"C",O51&gt;40,"D")</f>
        <v>A</v>
      </c>
      <c r="R51" s="4" t="str">
        <f t="shared" si="6"/>
        <v>Excellent</v>
      </c>
      <c r="S51" s="6">
        <f t="shared" si="7"/>
        <v>5</v>
      </c>
    </row>
  </sheetData>
  <pageMargins left="0.7" right="0.7" top="0.75" bottom="0.75" header="0.3" footer="0.3"/>
  <ignoredErrors>
    <ignoredError sqref="K2:K3 K4:K51 N2:N51 M2 M3:M51 L2:L5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Class 10A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2025-10-26T07:51:03Z</dcterms:modified>
</cp:coreProperties>
</file>