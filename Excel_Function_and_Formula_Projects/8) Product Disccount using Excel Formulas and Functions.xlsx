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1) Excel Functions and Formula Project\"/>
    </mc:Choice>
  </mc:AlternateContent>
  <xr:revisionPtr revIDLastSave="0" documentId="13_ncr:1_{83BA9F16-F8C0-43A6-B697-09702A2B04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- 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N11" i="1" s="1"/>
  <c r="O11" i="1" s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2" i="1"/>
  <c r="O8" i="1"/>
  <c r="H4" i="1"/>
  <c r="I4" i="1" s="1"/>
  <c r="H5" i="1"/>
  <c r="I5" i="1" s="1"/>
  <c r="H12" i="1"/>
  <c r="I12" i="1" s="1"/>
  <c r="H13" i="1"/>
  <c r="I13" i="1" s="1"/>
  <c r="H36" i="1"/>
  <c r="I36" i="1" s="1"/>
  <c r="H37" i="1"/>
  <c r="I37" i="1" s="1"/>
  <c r="H44" i="1"/>
  <c r="I44" i="1" s="1"/>
  <c r="H45" i="1"/>
  <c r="I45" i="1" s="1"/>
  <c r="G3" i="1"/>
  <c r="H3" i="1" s="1"/>
  <c r="I3" i="1" s="1"/>
  <c r="G4" i="1"/>
  <c r="G5" i="1"/>
  <c r="G6" i="1"/>
  <c r="H6" i="1" s="1"/>
  <c r="I6" i="1" s="1"/>
  <c r="G7" i="1"/>
  <c r="H7" i="1" s="1"/>
  <c r="I7" i="1" s="1"/>
  <c r="G8" i="1"/>
  <c r="H8" i="1" s="1"/>
  <c r="I8" i="1" s="1"/>
  <c r="G9" i="1"/>
  <c r="H9" i="1" s="1"/>
  <c r="I9" i="1" s="1"/>
  <c r="G10" i="1"/>
  <c r="H10" i="1" s="1"/>
  <c r="I10" i="1" s="1"/>
  <c r="G11" i="1"/>
  <c r="H11" i="1" s="1"/>
  <c r="I11" i="1" s="1"/>
  <c r="G12" i="1"/>
  <c r="G13" i="1"/>
  <c r="G14" i="1"/>
  <c r="H14" i="1" s="1"/>
  <c r="I14" i="1" s="1"/>
  <c r="G15" i="1"/>
  <c r="H15" i="1" s="1"/>
  <c r="I15" i="1" s="1"/>
  <c r="G16" i="1"/>
  <c r="H16" i="1" s="1"/>
  <c r="I16" i="1" s="1"/>
  <c r="G17" i="1"/>
  <c r="H17" i="1" s="1"/>
  <c r="I17" i="1" s="1"/>
  <c r="G18" i="1"/>
  <c r="H18" i="1" s="1"/>
  <c r="I18" i="1" s="1"/>
  <c r="G19" i="1"/>
  <c r="H19" i="1" s="1"/>
  <c r="I19" i="1" s="1"/>
  <c r="G20" i="1"/>
  <c r="H20" i="1" s="1"/>
  <c r="I20" i="1" s="1"/>
  <c r="G21" i="1"/>
  <c r="H21" i="1" s="1"/>
  <c r="I21" i="1" s="1"/>
  <c r="G22" i="1"/>
  <c r="H22" i="1" s="1"/>
  <c r="I22" i="1" s="1"/>
  <c r="G23" i="1"/>
  <c r="H23" i="1" s="1"/>
  <c r="I23" i="1" s="1"/>
  <c r="G24" i="1"/>
  <c r="H24" i="1" s="1"/>
  <c r="I24" i="1" s="1"/>
  <c r="G25" i="1"/>
  <c r="H25" i="1" s="1"/>
  <c r="I25" i="1" s="1"/>
  <c r="G26" i="1"/>
  <c r="H26" i="1" s="1"/>
  <c r="I26" i="1" s="1"/>
  <c r="G27" i="1"/>
  <c r="H27" i="1" s="1"/>
  <c r="I27" i="1" s="1"/>
  <c r="G28" i="1"/>
  <c r="H28" i="1" s="1"/>
  <c r="I28" i="1" s="1"/>
  <c r="G29" i="1"/>
  <c r="H29" i="1" s="1"/>
  <c r="I29" i="1" s="1"/>
  <c r="G30" i="1"/>
  <c r="H30" i="1" s="1"/>
  <c r="I30" i="1" s="1"/>
  <c r="G31" i="1"/>
  <c r="H31" i="1" s="1"/>
  <c r="I31" i="1" s="1"/>
  <c r="G32" i="1"/>
  <c r="H32" i="1" s="1"/>
  <c r="I32" i="1" s="1"/>
  <c r="G33" i="1"/>
  <c r="H33" i="1" s="1"/>
  <c r="I33" i="1" s="1"/>
  <c r="G34" i="1"/>
  <c r="H34" i="1" s="1"/>
  <c r="I34" i="1" s="1"/>
  <c r="G35" i="1"/>
  <c r="H35" i="1" s="1"/>
  <c r="I35" i="1" s="1"/>
  <c r="G36" i="1"/>
  <c r="G37" i="1"/>
  <c r="G38" i="1"/>
  <c r="H38" i="1" s="1"/>
  <c r="I38" i="1" s="1"/>
  <c r="G39" i="1"/>
  <c r="H39" i="1" s="1"/>
  <c r="I39" i="1" s="1"/>
  <c r="G40" i="1"/>
  <c r="H40" i="1" s="1"/>
  <c r="I40" i="1" s="1"/>
  <c r="G41" i="1"/>
  <c r="H41" i="1" s="1"/>
  <c r="I41" i="1" s="1"/>
  <c r="G42" i="1"/>
  <c r="H42" i="1" s="1"/>
  <c r="I42" i="1" s="1"/>
  <c r="G43" i="1"/>
  <c r="H43" i="1" s="1"/>
  <c r="I43" i="1" s="1"/>
  <c r="G44" i="1"/>
  <c r="G45" i="1"/>
  <c r="G46" i="1"/>
  <c r="H46" i="1" s="1"/>
  <c r="I46" i="1" s="1"/>
  <c r="G47" i="1"/>
  <c r="H47" i="1" s="1"/>
  <c r="I47" i="1" s="1"/>
  <c r="G48" i="1"/>
  <c r="H48" i="1" s="1"/>
  <c r="I48" i="1" s="1"/>
  <c r="G49" i="1"/>
  <c r="H49" i="1" s="1"/>
  <c r="I49" i="1" s="1"/>
  <c r="G50" i="1"/>
  <c r="H50" i="1" s="1"/>
  <c r="I50" i="1" s="1"/>
  <c r="G51" i="1"/>
  <c r="H51" i="1" s="1"/>
  <c r="I51" i="1" s="1"/>
  <c r="G2" i="1"/>
  <c r="H2" i="1" s="1"/>
  <c r="I2" i="1" l="1"/>
  <c r="M11" i="1" s="1"/>
  <c r="N8" i="1"/>
  <c r="M8" i="1"/>
</calcChain>
</file>

<file path=xl/sharedStrings.xml><?xml version="1.0" encoding="utf-8"?>
<sst xmlns="http://schemas.openxmlformats.org/spreadsheetml/2006/main" count="166" uniqueCount="119">
  <si>
    <t>Product ID</t>
  </si>
  <si>
    <t>Product Name</t>
  </si>
  <si>
    <t>Category</t>
  </si>
  <si>
    <t>MRP (₹)</t>
  </si>
  <si>
    <t>Discount (%)</t>
  </si>
  <si>
    <t>Quantity Sold</t>
  </si>
  <si>
    <t>Selling Price (₹)</t>
  </si>
  <si>
    <t>Total Sales (₹)</t>
  </si>
  <si>
    <t>P001</t>
  </si>
  <si>
    <t>Apple iPhone 14</t>
  </si>
  <si>
    <t>Electronics</t>
  </si>
  <si>
    <t>P002</t>
  </si>
  <si>
    <t>Samsung Galaxy S23</t>
  </si>
  <si>
    <t>P003</t>
  </si>
  <si>
    <t>Sony Headphones</t>
  </si>
  <si>
    <t>P004</t>
  </si>
  <si>
    <t>HP Laptop</t>
  </si>
  <si>
    <t>P005</t>
  </si>
  <si>
    <t>Dell Mouse</t>
  </si>
  <si>
    <t>P006</t>
  </si>
  <si>
    <t>Boat Earbuds</t>
  </si>
  <si>
    <t>P007</t>
  </si>
  <si>
    <t>Lenovo Keyboard</t>
  </si>
  <si>
    <t>P008</t>
  </si>
  <si>
    <t>Mi Power Bank</t>
  </si>
  <si>
    <t>P009</t>
  </si>
  <si>
    <t>Realme Watch</t>
  </si>
  <si>
    <t>P010</t>
  </si>
  <si>
    <t>JBL Speaker</t>
  </si>
  <si>
    <t>P011</t>
  </si>
  <si>
    <t>Raymond Shirt</t>
  </si>
  <si>
    <t>Clothing</t>
  </si>
  <si>
    <t>P012</t>
  </si>
  <si>
    <t>Levis Jeans</t>
  </si>
  <si>
    <t>P013</t>
  </si>
  <si>
    <t>Nike Shoes</t>
  </si>
  <si>
    <t>P014</t>
  </si>
  <si>
    <t>Puma T-Shirt</t>
  </si>
  <si>
    <t>P015</t>
  </si>
  <si>
    <t>Adidas Cap</t>
  </si>
  <si>
    <t>P016</t>
  </si>
  <si>
    <t>Wrangler Jacket</t>
  </si>
  <si>
    <t>P017</t>
  </si>
  <si>
    <t>H&amp;M Hoodie</t>
  </si>
  <si>
    <t>P018</t>
  </si>
  <si>
    <t>Zara Dress</t>
  </si>
  <si>
    <t>P019</t>
  </si>
  <si>
    <t>Allen Solly Belt</t>
  </si>
  <si>
    <t>P020</t>
  </si>
  <si>
    <t>Van Heusen Shirt</t>
  </si>
  <si>
    <t>P021</t>
  </si>
  <si>
    <t>Britannia Biscuits</t>
  </si>
  <si>
    <t>Grocery</t>
  </si>
  <si>
    <t>P022</t>
  </si>
  <si>
    <t>Amul Milk 1L</t>
  </si>
  <si>
    <t>P023</t>
  </si>
  <si>
    <t>Tata Salt 1kg</t>
  </si>
  <si>
    <t>P024</t>
  </si>
  <si>
    <t>Fortune Oil 1L</t>
  </si>
  <si>
    <t>P025</t>
  </si>
  <si>
    <t>Surf Excel 1kg</t>
  </si>
  <si>
    <t>P026</t>
  </si>
  <si>
    <t>Maggi Noodles</t>
  </si>
  <si>
    <t>P027</t>
  </si>
  <si>
    <t>Red Label Tea</t>
  </si>
  <si>
    <t>P028</t>
  </si>
  <si>
    <t>Parle G Biscuits</t>
  </si>
  <si>
    <t>P029</t>
  </si>
  <si>
    <t>Colgate Toothpaste</t>
  </si>
  <si>
    <t>P030</t>
  </si>
  <si>
    <t>Dove Soap</t>
  </si>
  <si>
    <t>P031</t>
  </si>
  <si>
    <t>Asian Paint (1L)</t>
  </si>
  <si>
    <t>Hardware</t>
  </si>
  <si>
    <t>P032</t>
  </si>
  <si>
    <t>Philips Bulb</t>
  </si>
  <si>
    <t>P033</t>
  </si>
  <si>
    <t>Fevicol Glue</t>
  </si>
  <si>
    <t>P034</t>
  </si>
  <si>
    <t>Bosch Drill</t>
  </si>
  <si>
    <t>P035</t>
  </si>
  <si>
    <t>Tap Fitting</t>
  </si>
  <si>
    <t>P036</t>
  </si>
  <si>
    <t>Wire Cutter</t>
  </si>
  <si>
    <t>P037</t>
  </si>
  <si>
    <t>Extension Board</t>
  </si>
  <si>
    <t>P038</t>
  </si>
  <si>
    <t>Door Lock</t>
  </si>
  <si>
    <t>P039</t>
  </si>
  <si>
    <t>Screwdriver Set</t>
  </si>
  <si>
    <t>P040</t>
  </si>
  <si>
    <t>Paint Brush</t>
  </si>
  <si>
    <t>P041</t>
  </si>
  <si>
    <t>Nestle KitKat</t>
  </si>
  <si>
    <t>P042</t>
  </si>
  <si>
    <t>Samsung Monitor</t>
  </si>
  <si>
    <t>P043</t>
  </si>
  <si>
    <t>LG Refrigerator</t>
  </si>
  <si>
    <t>P044</t>
  </si>
  <si>
    <t>Whirlpool Washing Machine</t>
  </si>
  <si>
    <t>P045</t>
  </si>
  <si>
    <t>HP Printer</t>
  </si>
  <si>
    <t>P046</t>
  </si>
  <si>
    <t>Puma Socks</t>
  </si>
  <si>
    <t>P047</t>
  </si>
  <si>
    <t>Cadbury Dairy Milk</t>
  </si>
  <si>
    <t>P048</t>
  </si>
  <si>
    <t>Axe Deodorant</t>
  </si>
  <si>
    <t>P049</t>
  </si>
  <si>
    <t>Ariel Detergent</t>
  </si>
  <si>
    <t>P050</t>
  </si>
  <si>
    <t>Patanjali Shampoo</t>
  </si>
  <si>
    <t>Discount Amount</t>
  </si>
  <si>
    <t>Max Selling Price</t>
  </si>
  <si>
    <t>Min Selling Price</t>
  </si>
  <si>
    <t>Total Revenue</t>
  </si>
  <si>
    <t>Total Cost</t>
  </si>
  <si>
    <t>Average Discount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</si>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</sst>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 [$₹-4009]\ * #,##0.00_ ;_ [$₹-4009]\ * \-#,##0.00_ ;_ [$₹-4009]\ * &quot;-&quot;??_ ;_ @_ "/>
    <numFmt numFmtId="169" formatCode="_ [$₹-4009]\ * #,##0.0_ ;_ [$₹-4009]\ * \-#,##0.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69" fontId="0" fillId="0" borderId="1" xfId="0" applyNumberFormat="1" applyBorder="1" applyAlignment="1">
      <alignment vertical="center"/>
    </xf>
    <xf numFmtId="169" fontId="0" fillId="0" borderId="0" xfId="0" applyNumberFormat="1"/>
    <xf numFmtId="0" fontId="1" fillId="0" borderId="2" xfId="0" applyFont="1" applyFill="1" applyBorder="1" applyAlignment="1">
      <alignment horizontal="center" vertic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workbookViewId="0">
      <selection activeCell="N17" sqref="N17"/>
    </sheetView>
  </sheetViews>
  <sheetFormatPr defaultRowHeight="14.4" x14ac:dyDescent="0.3"/>
  <cols>
    <col min="1" max="1" width="9.88671875" bestFit="1" customWidth="1"/>
    <col min="2" max="2" width="24.109375" bestFit="1" customWidth="1"/>
    <col min="3" max="3" width="9.88671875" bestFit="1" customWidth="1"/>
    <col min="4" max="4" width="10.33203125" bestFit="1" customWidth="1"/>
    <col min="5" max="5" width="11.5546875" bestFit="1" customWidth="1"/>
    <col min="6" max="6" width="12.44140625" bestFit="1" customWidth="1"/>
    <col min="7" max="7" width="15.77734375" bestFit="1" customWidth="1"/>
    <col min="8" max="8" width="13.88671875" bestFit="1" customWidth="1"/>
    <col min="9" max="9" width="12.6640625" bestFit="1" customWidth="1"/>
    <col min="10" max="10" width="11.33203125" bestFit="1" customWidth="1"/>
    <col min="13" max="13" width="14.6640625" bestFit="1" customWidth="1"/>
    <col min="14" max="14" width="14.21875" bestFit="1" customWidth="1"/>
    <col min="15" max="15" width="15.33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112</v>
      </c>
      <c r="H1" s="1" t="s">
        <v>6</v>
      </c>
      <c r="I1" s="1" t="s">
        <v>7</v>
      </c>
      <c r="J1" s="5" t="s">
        <v>116</v>
      </c>
    </row>
    <row r="2" spans="1:15" x14ac:dyDescent="0.3">
      <c r="A2" s="2" t="s">
        <v>8</v>
      </c>
      <c r="B2" s="2" t="s">
        <v>9</v>
      </c>
      <c r="C2" s="2" t="s">
        <v>10</v>
      </c>
      <c r="D2" s="3">
        <v>79999</v>
      </c>
      <c r="E2" s="2">
        <v>10</v>
      </c>
      <c r="F2" s="2">
        <v>8</v>
      </c>
      <c r="G2" s="3">
        <f>D2*E2%</f>
        <v>7999.9000000000005</v>
      </c>
      <c r="H2" s="3">
        <f>D2-G2</f>
        <v>71999.100000000006</v>
      </c>
      <c r="I2" s="3">
        <f>H2*F2</f>
        <v>575992.80000000005</v>
      </c>
      <c r="J2" s="6">
        <f>D2*50%</f>
        <v>39999.5</v>
      </c>
    </row>
    <row r="3" spans="1:15" x14ac:dyDescent="0.3">
      <c r="A3" s="2" t="s">
        <v>11</v>
      </c>
      <c r="B3" s="2" t="s">
        <v>12</v>
      </c>
      <c r="C3" s="2" t="s">
        <v>10</v>
      </c>
      <c r="D3" s="3">
        <v>74999</v>
      </c>
      <c r="E3" s="2">
        <v>12</v>
      </c>
      <c r="F3" s="2">
        <v>6</v>
      </c>
      <c r="G3" s="3">
        <f>D3*E3%</f>
        <v>8999.8799999999992</v>
      </c>
      <c r="H3" s="3">
        <f t="shared" ref="H3:H51" si="0">D3-G3</f>
        <v>65999.12</v>
      </c>
      <c r="I3" s="3">
        <f t="shared" ref="I3:I51" si="1">H3*F3</f>
        <v>395994.72</v>
      </c>
      <c r="J3" s="6">
        <f t="shared" ref="J3:J51" si="2">D3*50%</f>
        <v>37499.5</v>
      </c>
    </row>
    <row r="4" spans="1:15" x14ac:dyDescent="0.3">
      <c r="A4" s="2" t="s">
        <v>13</v>
      </c>
      <c r="B4" s="2" t="s">
        <v>14</v>
      </c>
      <c r="C4" s="2" t="s">
        <v>10</v>
      </c>
      <c r="D4" s="3">
        <v>5999</v>
      </c>
      <c r="E4" s="2">
        <v>15</v>
      </c>
      <c r="F4" s="2">
        <v>15</v>
      </c>
      <c r="G4" s="3">
        <f t="shared" ref="G4:G51" si="3">D4*E4%</f>
        <v>899.85</v>
      </c>
      <c r="H4" s="3">
        <f t="shared" si="0"/>
        <v>5099.1499999999996</v>
      </c>
      <c r="I4" s="3">
        <f t="shared" si="1"/>
        <v>76487.25</v>
      </c>
      <c r="J4" s="6">
        <f t="shared" si="2"/>
        <v>2999.5</v>
      </c>
    </row>
    <row r="5" spans="1:15" x14ac:dyDescent="0.3">
      <c r="A5" s="2" t="s">
        <v>15</v>
      </c>
      <c r="B5" s="2" t="s">
        <v>16</v>
      </c>
      <c r="C5" s="2" t="s">
        <v>10</v>
      </c>
      <c r="D5" s="3">
        <v>58999</v>
      </c>
      <c r="E5" s="2">
        <v>8</v>
      </c>
      <c r="F5" s="2">
        <v>5</v>
      </c>
      <c r="G5" s="3">
        <f t="shared" si="3"/>
        <v>4719.92</v>
      </c>
      <c r="H5" s="3">
        <f t="shared" si="0"/>
        <v>54279.08</v>
      </c>
      <c r="I5" s="3">
        <f t="shared" si="1"/>
        <v>271395.40000000002</v>
      </c>
      <c r="J5" s="6">
        <f t="shared" si="2"/>
        <v>29499.5</v>
      </c>
    </row>
    <row r="6" spans="1:15" x14ac:dyDescent="0.3">
      <c r="A6" s="2" t="s">
        <v>17</v>
      </c>
      <c r="B6" s="2" t="s">
        <v>18</v>
      </c>
      <c r="C6" s="2" t="s">
        <v>10</v>
      </c>
      <c r="D6" s="3">
        <v>799</v>
      </c>
      <c r="E6" s="2">
        <v>5</v>
      </c>
      <c r="F6" s="2">
        <v>30</v>
      </c>
      <c r="G6" s="3">
        <f t="shared" si="3"/>
        <v>39.950000000000003</v>
      </c>
      <c r="H6" s="3">
        <f t="shared" si="0"/>
        <v>759.05</v>
      </c>
      <c r="I6" s="3">
        <f t="shared" si="1"/>
        <v>22771.5</v>
      </c>
      <c r="J6" s="6">
        <f t="shared" si="2"/>
        <v>399.5</v>
      </c>
    </row>
    <row r="7" spans="1:15" x14ac:dyDescent="0.3">
      <c r="A7" s="2" t="s">
        <v>19</v>
      </c>
      <c r="B7" s="2" t="s">
        <v>20</v>
      </c>
      <c r="C7" s="2" t="s">
        <v>10</v>
      </c>
      <c r="D7" s="3">
        <v>2499</v>
      </c>
      <c r="E7" s="2">
        <v>20</v>
      </c>
      <c r="F7" s="2">
        <v>25</v>
      </c>
      <c r="G7" s="3">
        <f t="shared" si="3"/>
        <v>499.8</v>
      </c>
      <c r="H7" s="3">
        <f t="shared" si="0"/>
        <v>1999.2</v>
      </c>
      <c r="I7" s="3">
        <f t="shared" si="1"/>
        <v>49980</v>
      </c>
      <c r="J7" s="6">
        <f t="shared" si="2"/>
        <v>1249.5</v>
      </c>
      <c r="M7" t="s">
        <v>113</v>
      </c>
      <c r="N7" t="s">
        <v>114</v>
      </c>
      <c r="O7" t="s">
        <v>117</v>
      </c>
    </row>
    <row r="8" spans="1:15" x14ac:dyDescent="0.3">
      <c r="A8" s="2" t="s">
        <v>21</v>
      </c>
      <c r="B8" s="2" t="s">
        <v>22</v>
      </c>
      <c r="C8" s="2" t="s">
        <v>10</v>
      </c>
      <c r="D8" s="3">
        <v>1499</v>
      </c>
      <c r="E8" s="2">
        <v>10</v>
      </c>
      <c r="F8" s="2">
        <v>20</v>
      </c>
      <c r="G8" s="3">
        <f t="shared" si="3"/>
        <v>149.9</v>
      </c>
      <c r="H8" s="3">
        <f t="shared" si="0"/>
        <v>1349.1</v>
      </c>
      <c r="I8" s="3">
        <f t="shared" si="1"/>
        <v>26982</v>
      </c>
      <c r="J8" s="6">
        <f t="shared" si="2"/>
        <v>749.5</v>
      </c>
      <c r="M8" s="4">
        <f>MAX(H2:H51)</f>
        <v>71999.100000000006</v>
      </c>
      <c r="N8" s="4">
        <f>MIN(H2:H51)</f>
        <v>10</v>
      </c>
      <c r="O8">
        <f>AVERAGE(E2:E51)</f>
        <v>11.06</v>
      </c>
    </row>
    <row r="9" spans="1:15" x14ac:dyDescent="0.3">
      <c r="A9" s="2" t="s">
        <v>23</v>
      </c>
      <c r="B9" s="2" t="s">
        <v>24</v>
      </c>
      <c r="C9" s="2" t="s">
        <v>10</v>
      </c>
      <c r="D9" s="3">
        <v>1999</v>
      </c>
      <c r="E9" s="2">
        <v>15</v>
      </c>
      <c r="F9" s="2">
        <v>18</v>
      </c>
      <c r="G9" s="3">
        <f t="shared" si="3"/>
        <v>299.84999999999997</v>
      </c>
      <c r="H9" s="3">
        <f t="shared" si="0"/>
        <v>1699.15</v>
      </c>
      <c r="I9" s="3">
        <f t="shared" si="1"/>
        <v>30584.7</v>
      </c>
      <c r="J9" s="6">
        <f t="shared" si="2"/>
        <v>999.5</v>
      </c>
    </row>
    <row r="10" spans="1:15" x14ac:dyDescent="0.3">
      <c r="A10" s="2" t="s">
        <v>25</v>
      </c>
      <c r="B10" s="2" t="s">
        <v>26</v>
      </c>
      <c r="C10" s="2" t="s">
        <v>10</v>
      </c>
      <c r="D10" s="3">
        <v>4999</v>
      </c>
      <c r="E10" s="2">
        <v>12</v>
      </c>
      <c r="F10" s="2">
        <v>12</v>
      </c>
      <c r="G10" s="3">
        <f t="shared" si="3"/>
        <v>599.88</v>
      </c>
      <c r="H10" s="3">
        <f t="shared" si="0"/>
        <v>4399.12</v>
      </c>
      <c r="I10" s="3">
        <f t="shared" si="1"/>
        <v>52789.440000000002</v>
      </c>
      <c r="J10" s="6">
        <f t="shared" si="2"/>
        <v>2499.5</v>
      </c>
      <c r="M10" t="s">
        <v>115</v>
      </c>
      <c r="N10" t="s">
        <v>116</v>
      </c>
      <c r="O10" t="s">
        <v>118</v>
      </c>
    </row>
    <row r="11" spans="1:15" x14ac:dyDescent="0.3">
      <c r="A11" s="2" t="s">
        <v>27</v>
      </c>
      <c r="B11" s="2" t="s">
        <v>28</v>
      </c>
      <c r="C11" s="2" t="s">
        <v>10</v>
      </c>
      <c r="D11" s="3">
        <v>3499</v>
      </c>
      <c r="E11" s="2">
        <v>10</v>
      </c>
      <c r="F11" s="2">
        <v>10</v>
      </c>
      <c r="G11" s="3">
        <f t="shared" si="3"/>
        <v>349.90000000000003</v>
      </c>
      <c r="H11" s="3">
        <f t="shared" si="0"/>
        <v>3149.1</v>
      </c>
      <c r="I11" s="3">
        <f t="shared" si="1"/>
        <v>31491</v>
      </c>
      <c r="J11" s="6">
        <f t="shared" si="2"/>
        <v>1749.5</v>
      </c>
      <c r="M11" s="4">
        <f>SUM(I2:I51)</f>
        <v>2624235.439999999</v>
      </c>
      <c r="N11" s="4">
        <f>SUM(J2:J51)</f>
        <v>189576.5</v>
      </c>
      <c r="O11" s="6">
        <f>M11-N11</f>
        <v>2434658.939999999</v>
      </c>
    </row>
    <row r="12" spans="1:15" x14ac:dyDescent="0.3">
      <c r="A12" s="2" t="s">
        <v>29</v>
      </c>
      <c r="B12" s="2" t="s">
        <v>30</v>
      </c>
      <c r="C12" s="2" t="s">
        <v>31</v>
      </c>
      <c r="D12" s="3">
        <v>1999</v>
      </c>
      <c r="E12" s="2">
        <v>25</v>
      </c>
      <c r="F12" s="2">
        <v>35</v>
      </c>
      <c r="G12" s="3">
        <f t="shared" si="3"/>
        <v>499.75</v>
      </c>
      <c r="H12" s="3">
        <f t="shared" si="0"/>
        <v>1499.25</v>
      </c>
      <c r="I12" s="3">
        <f t="shared" si="1"/>
        <v>52473.75</v>
      </c>
      <c r="J12" s="6">
        <f t="shared" si="2"/>
        <v>999.5</v>
      </c>
    </row>
    <row r="13" spans="1:15" x14ac:dyDescent="0.3">
      <c r="A13" s="2" t="s">
        <v>32</v>
      </c>
      <c r="B13" s="2" t="s">
        <v>33</v>
      </c>
      <c r="C13" s="2" t="s">
        <v>31</v>
      </c>
      <c r="D13" s="3">
        <v>2999</v>
      </c>
      <c r="E13" s="2">
        <v>20</v>
      </c>
      <c r="F13" s="2">
        <v>22</v>
      </c>
      <c r="G13" s="3">
        <f t="shared" si="3"/>
        <v>599.80000000000007</v>
      </c>
      <c r="H13" s="3">
        <f t="shared" si="0"/>
        <v>2399.1999999999998</v>
      </c>
      <c r="I13" s="3">
        <f t="shared" si="1"/>
        <v>52782.399999999994</v>
      </c>
      <c r="J13" s="6">
        <f t="shared" si="2"/>
        <v>1499.5</v>
      </c>
    </row>
    <row r="14" spans="1:15" x14ac:dyDescent="0.3">
      <c r="A14" s="2" t="s">
        <v>34</v>
      </c>
      <c r="B14" s="2" t="s">
        <v>35</v>
      </c>
      <c r="C14" s="2" t="s">
        <v>31</v>
      </c>
      <c r="D14" s="3">
        <v>4999</v>
      </c>
      <c r="E14" s="2">
        <v>18</v>
      </c>
      <c r="F14" s="2">
        <v>15</v>
      </c>
      <c r="G14" s="3">
        <f t="shared" si="3"/>
        <v>899.81999999999994</v>
      </c>
      <c r="H14" s="3">
        <f t="shared" si="0"/>
        <v>4099.18</v>
      </c>
      <c r="I14" s="3">
        <f t="shared" si="1"/>
        <v>61487.700000000004</v>
      </c>
      <c r="J14" s="6">
        <f t="shared" si="2"/>
        <v>2499.5</v>
      </c>
    </row>
    <row r="15" spans="1:15" x14ac:dyDescent="0.3">
      <c r="A15" s="2" t="s">
        <v>36</v>
      </c>
      <c r="B15" s="2" t="s">
        <v>37</v>
      </c>
      <c r="C15" s="2" t="s">
        <v>31</v>
      </c>
      <c r="D15" s="3">
        <v>1499</v>
      </c>
      <c r="E15" s="2">
        <v>10</v>
      </c>
      <c r="F15" s="2">
        <v>28</v>
      </c>
      <c r="G15" s="3">
        <f t="shared" si="3"/>
        <v>149.9</v>
      </c>
      <c r="H15" s="3">
        <f t="shared" si="0"/>
        <v>1349.1</v>
      </c>
      <c r="I15" s="3">
        <f t="shared" si="1"/>
        <v>37774.799999999996</v>
      </c>
      <c r="J15" s="6">
        <f t="shared" si="2"/>
        <v>749.5</v>
      </c>
    </row>
    <row r="16" spans="1:15" x14ac:dyDescent="0.3">
      <c r="A16" s="2" t="s">
        <v>38</v>
      </c>
      <c r="B16" s="2" t="s">
        <v>39</v>
      </c>
      <c r="C16" s="2" t="s">
        <v>31</v>
      </c>
      <c r="D16" s="3">
        <v>999</v>
      </c>
      <c r="E16" s="2">
        <v>15</v>
      </c>
      <c r="F16" s="2">
        <v>20</v>
      </c>
      <c r="G16" s="3">
        <f t="shared" si="3"/>
        <v>149.85</v>
      </c>
      <c r="H16" s="3">
        <f t="shared" si="0"/>
        <v>849.15</v>
      </c>
      <c r="I16" s="3">
        <f t="shared" si="1"/>
        <v>16983</v>
      </c>
      <c r="J16" s="6">
        <f t="shared" si="2"/>
        <v>499.5</v>
      </c>
    </row>
    <row r="17" spans="1:10" x14ac:dyDescent="0.3">
      <c r="A17" s="2" t="s">
        <v>40</v>
      </c>
      <c r="B17" s="2" t="s">
        <v>41</v>
      </c>
      <c r="C17" s="2" t="s">
        <v>31</v>
      </c>
      <c r="D17" s="3">
        <v>3499</v>
      </c>
      <c r="E17" s="2">
        <v>22</v>
      </c>
      <c r="F17" s="2">
        <v>12</v>
      </c>
      <c r="G17" s="3">
        <f t="shared" si="3"/>
        <v>769.78</v>
      </c>
      <c r="H17" s="3">
        <f t="shared" si="0"/>
        <v>2729.2200000000003</v>
      </c>
      <c r="I17" s="3">
        <f t="shared" si="1"/>
        <v>32750.640000000003</v>
      </c>
      <c r="J17" s="6">
        <f t="shared" si="2"/>
        <v>1749.5</v>
      </c>
    </row>
    <row r="18" spans="1:10" x14ac:dyDescent="0.3">
      <c r="A18" s="2" t="s">
        <v>42</v>
      </c>
      <c r="B18" s="2" t="s">
        <v>43</v>
      </c>
      <c r="C18" s="2" t="s">
        <v>31</v>
      </c>
      <c r="D18" s="3">
        <v>2599</v>
      </c>
      <c r="E18" s="2">
        <v>25</v>
      </c>
      <c r="F18" s="2">
        <v>10</v>
      </c>
      <c r="G18" s="3">
        <f t="shared" si="3"/>
        <v>649.75</v>
      </c>
      <c r="H18" s="3">
        <f t="shared" si="0"/>
        <v>1949.25</v>
      </c>
      <c r="I18" s="3">
        <f t="shared" si="1"/>
        <v>19492.5</v>
      </c>
      <c r="J18" s="6">
        <f t="shared" si="2"/>
        <v>1299.5</v>
      </c>
    </row>
    <row r="19" spans="1:10" x14ac:dyDescent="0.3">
      <c r="A19" s="2" t="s">
        <v>44</v>
      </c>
      <c r="B19" s="2" t="s">
        <v>45</v>
      </c>
      <c r="C19" s="2" t="s">
        <v>31</v>
      </c>
      <c r="D19" s="3">
        <v>3999</v>
      </c>
      <c r="E19" s="2">
        <v>30</v>
      </c>
      <c r="F19" s="2">
        <v>8</v>
      </c>
      <c r="G19" s="3">
        <f t="shared" si="3"/>
        <v>1199.7</v>
      </c>
      <c r="H19" s="3">
        <f t="shared" si="0"/>
        <v>2799.3</v>
      </c>
      <c r="I19" s="3">
        <f t="shared" si="1"/>
        <v>22394.400000000001</v>
      </c>
      <c r="J19" s="6">
        <f t="shared" si="2"/>
        <v>1999.5</v>
      </c>
    </row>
    <row r="20" spans="1:10" x14ac:dyDescent="0.3">
      <c r="A20" s="2" t="s">
        <v>46</v>
      </c>
      <c r="B20" s="2" t="s">
        <v>47</v>
      </c>
      <c r="C20" s="2" t="s">
        <v>31</v>
      </c>
      <c r="D20" s="3">
        <v>1299</v>
      </c>
      <c r="E20" s="2">
        <v>10</v>
      </c>
      <c r="F20" s="2">
        <v>18</v>
      </c>
      <c r="G20" s="3">
        <f t="shared" si="3"/>
        <v>129.9</v>
      </c>
      <c r="H20" s="3">
        <f t="shared" si="0"/>
        <v>1169.0999999999999</v>
      </c>
      <c r="I20" s="3">
        <f t="shared" si="1"/>
        <v>21043.8</v>
      </c>
      <c r="J20" s="6">
        <f t="shared" si="2"/>
        <v>649.5</v>
      </c>
    </row>
    <row r="21" spans="1:10" x14ac:dyDescent="0.3">
      <c r="A21" s="2" t="s">
        <v>48</v>
      </c>
      <c r="B21" s="2" t="s">
        <v>49</v>
      </c>
      <c r="C21" s="2" t="s">
        <v>31</v>
      </c>
      <c r="D21" s="3">
        <v>1899</v>
      </c>
      <c r="E21" s="2">
        <v>15</v>
      </c>
      <c r="F21" s="2">
        <v>25</v>
      </c>
      <c r="G21" s="3">
        <f t="shared" si="3"/>
        <v>284.84999999999997</v>
      </c>
      <c r="H21" s="3">
        <f t="shared" si="0"/>
        <v>1614.15</v>
      </c>
      <c r="I21" s="3">
        <f t="shared" si="1"/>
        <v>40353.75</v>
      </c>
      <c r="J21" s="6">
        <f t="shared" si="2"/>
        <v>949.5</v>
      </c>
    </row>
    <row r="22" spans="1:10" x14ac:dyDescent="0.3">
      <c r="A22" s="2" t="s">
        <v>50</v>
      </c>
      <c r="B22" s="2" t="s">
        <v>51</v>
      </c>
      <c r="C22" s="2" t="s">
        <v>52</v>
      </c>
      <c r="D22" s="3">
        <v>40</v>
      </c>
      <c r="E22" s="2">
        <v>5</v>
      </c>
      <c r="F22" s="2">
        <v>100</v>
      </c>
      <c r="G22" s="3">
        <f t="shared" si="3"/>
        <v>2</v>
      </c>
      <c r="H22" s="3">
        <f t="shared" si="0"/>
        <v>38</v>
      </c>
      <c r="I22" s="3">
        <f t="shared" si="1"/>
        <v>3800</v>
      </c>
      <c r="J22" s="6">
        <f t="shared" si="2"/>
        <v>20</v>
      </c>
    </row>
    <row r="23" spans="1:10" x14ac:dyDescent="0.3">
      <c r="A23" s="2" t="s">
        <v>53</v>
      </c>
      <c r="B23" s="2" t="s">
        <v>54</v>
      </c>
      <c r="C23" s="2" t="s">
        <v>52</v>
      </c>
      <c r="D23" s="3">
        <v>60</v>
      </c>
      <c r="E23" s="2">
        <v>3</v>
      </c>
      <c r="F23" s="2">
        <v>200</v>
      </c>
      <c r="G23" s="3">
        <f t="shared" si="3"/>
        <v>1.7999999999999998</v>
      </c>
      <c r="H23" s="3">
        <f t="shared" si="0"/>
        <v>58.2</v>
      </c>
      <c r="I23" s="3">
        <f t="shared" si="1"/>
        <v>11640</v>
      </c>
      <c r="J23" s="6">
        <f t="shared" si="2"/>
        <v>30</v>
      </c>
    </row>
    <row r="24" spans="1:10" x14ac:dyDescent="0.3">
      <c r="A24" s="2" t="s">
        <v>55</v>
      </c>
      <c r="B24" s="2" t="s">
        <v>56</v>
      </c>
      <c r="C24" s="2" t="s">
        <v>52</v>
      </c>
      <c r="D24" s="3">
        <v>25</v>
      </c>
      <c r="E24" s="2">
        <v>2</v>
      </c>
      <c r="F24" s="2">
        <v>150</v>
      </c>
      <c r="G24" s="3">
        <f t="shared" si="3"/>
        <v>0.5</v>
      </c>
      <c r="H24" s="3">
        <f t="shared" si="0"/>
        <v>24.5</v>
      </c>
      <c r="I24" s="3">
        <f t="shared" si="1"/>
        <v>3675</v>
      </c>
      <c r="J24" s="6">
        <f t="shared" si="2"/>
        <v>12.5</v>
      </c>
    </row>
    <row r="25" spans="1:10" x14ac:dyDescent="0.3">
      <c r="A25" s="2" t="s">
        <v>57</v>
      </c>
      <c r="B25" s="2" t="s">
        <v>58</v>
      </c>
      <c r="C25" s="2" t="s">
        <v>52</v>
      </c>
      <c r="D25" s="3">
        <v>160</v>
      </c>
      <c r="E25" s="2">
        <v>10</v>
      </c>
      <c r="F25" s="2">
        <v>120</v>
      </c>
      <c r="G25" s="3">
        <f t="shared" si="3"/>
        <v>16</v>
      </c>
      <c r="H25" s="3">
        <f t="shared" si="0"/>
        <v>144</v>
      </c>
      <c r="I25" s="3">
        <f t="shared" si="1"/>
        <v>17280</v>
      </c>
      <c r="J25" s="6">
        <f t="shared" si="2"/>
        <v>80</v>
      </c>
    </row>
    <row r="26" spans="1:10" x14ac:dyDescent="0.3">
      <c r="A26" s="2" t="s">
        <v>59</v>
      </c>
      <c r="B26" s="2" t="s">
        <v>60</v>
      </c>
      <c r="C26" s="2" t="s">
        <v>52</v>
      </c>
      <c r="D26" s="3">
        <v>240</v>
      </c>
      <c r="E26" s="2">
        <v>8</v>
      </c>
      <c r="F26" s="2">
        <v>80</v>
      </c>
      <c r="G26" s="3">
        <f t="shared" si="3"/>
        <v>19.2</v>
      </c>
      <c r="H26" s="3">
        <f t="shared" si="0"/>
        <v>220.8</v>
      </c>
      <c r="I26" s="3">
        <f t="shared" si="1"/>
        <v>17664</v>
      </c>
      <c r="J26" s="6">
        <f t="shared" si="2"/>
        <v>120</v>
      </c>
    </row>
    <row r="27" spans="1:10" x14ac:dyDescent="0.3">
      <c r="A27" s="2" t="s">
        <v>61</v>
      </c>
      <c r="B27" s="2" t="s">
        <v>62</v>
      </c>
      <c r="C27" s="2" t="s">
        <v>52</v>
      </c>
      <c r="D27" s="3">
        <v>15</v>
      </c>
      <c r="E27" s="2">
        <v>0</v>
      </c>
      <c r="F27" s="2">
        <v>300</v>
      </c>
      <c r="G27" s="3">
        <f t="shared" si="3"/>
        <v>0</v>
      </c>
      <c r="H27" s="3">
        <f t="shared" si="0"/>
        <v>15</v>
      </c>
      <c r="I27" s="3">
        <f t="shared" si="1"/>
        <v>4500</v>
      </c>
      <c r="J27" s="6">
        <f t="shared" si="2"/>
        <v>7.5</v>
      </c>
    </row>
    <row r="28" spans="1:10" x14ac:dyDescent="0.3">
      <c r="A28" s="2" t="s">
        <v>63</v>
      </c>
      <c r="B28" s="2" t="s">
        <v>64</v>
      </c>
      <c r="C28" s="2" t="s">
        <v>52</v>
      </c>
      <c r="D28" s="3">
        <v>120</v>
      </c>
      <c r="E28" s="2">
        <v>5</v>
      </c>
      <c r="F28" s="2">
        <v>90</v>
      </c>
      <c r="G28" s="3">
        <f t="shared" si="3"/>
        <v>6</v>
      </c>
      <c r="H28" s="3">
        <f t="shared" si="0"/>
        <v>114</v>
      </c>
      <c r="I28" s="3">
        <f t="shared" si="1"/>
        <v>10260</v>
      </c>
      <c r="J28" s="6">
        <f t="shared" si="2"/>
        <v>60</v>
      </c>
    </row>
    <row r="29" spans="1:10" x14ac:dyDescent="0.3">
      <c r="A29" s="2" t="s">
        <v>65</v>
      </c>
      <c r="B29" s="2" t="s">
        <v>66</v>
      </c>
      <c r="C29" s="2" t="s">
        <v>52</v>
      </c>
      <c r="D29" s="3">
        <v>10</v>
      </c>
      <c r="E29" s="2">
        <v>0</v>
      </c>
      <c r="F29" s="2">
        <v>400</v>
      </c>
      <c r="G29" s="3">
        <f t="shared" si="3"/>
        <v>0</v>
      </c>
      <c r="H29" s="3">
        <f t="shared" si="0"/>
        <v>10</v>
      </c>
      <c r="I29" s="3">
        <f t="shared" si="1"/>
        <v>4000</v>
      </c>
      <c r="J29" s="6">
        <f t="shared" si="2"/>
        <v>5</v>
      </c>
    </row>
    <row r="30" spans="1:10" x14ac:dyDescent="0.3">
      <c r="A30" s="2" t="s">
        <v>67</v>
      </c>
      <c r="B30" s="2" t="s">
        <v>68</v>
      </c>
      <c r="C30" s="2" t="s">
        <v>52</v>
      </c>
      <c r="D30" s="3">
        <v>70</v>
      </c>
      <c r="E30" s="2">
        <v>5</v>
      </c>
      <c r="F30" s="2">
        <v>110</v>
      </c>
      <c r="G30" s="3">
        <f t="shared" si="3"/>
        <v>3.5</v>
      </c>
      <c r="H30" s="3">
        <f t="shared" si="0"/>
        <v>66.5</v>
      </c>
      <c r="I30" s="3">
        <f t="shared" si="1"/>
        <v>7315</v>
      </c>
      <c r="J30" s="6">
        <f t="shared" si="2"/>
        <v>35</v>
      </c>
    </row>
    <row r="31" spans="1:10" x14ac:dyDescent="0.3">
      <c r="A31" s="2" t="s">
        <v>69</v>
      </c>
      <c r="B31" s="2" t="s">
        <v>70</v>
      </c>
      <c r="C31" s="2" t="s">
        <v>52</v>
      </c>
      <c r="D31" s="3">
        <v>60</v>
      </c>
      <c r="E31" s="2">
        <v>10</v>
      </c>
      <c r="F31" s="2">
        <v>130</v>
      </c>
      <c r="G31" s="3">
        <f t="shared" si="3"/>
        <v>6</v>
      </c>
      <c r="H31" s="3">
        <f t="shared" si="0"/>
        <v>54</v>
      </c>
      <c r="I31" s="3">
        <f t="shared" si="1"/>
        <v>7020</v>
      </c>
      <c r="J31" s="6">
        <f t="shared" si="2"/>
        <v>30</v>
      </c>
    </row>
    <row r="32" spans="1:10" x14ac:dyDescent="0.3">
      <c r="A32" s="2" t="s">
        <v>71</v>
      </c>
      <c r="B32" s="2" t="s">
        <v>72</v>
      </c>
      <c r="C32" s="2" t="s">
        <v>73</v>
      </c>
      <c r="D32" s="3">
        <v>520</v>
      </c>
      <c r="E32" s="2">
        <v>12</v>
      </c>
      <c r="F32" s="2">
        <v>35</v>
      </c>
      <c r="G32" s="3">
        <f t="shared" si="3"/>
        <v>62.4</v>
      </c>
      <c r="H32" s="3">
        <f t="shared" si="0"/>
        <v>457.6</v>
      </c>
      <c r="I32" s="3">
        <f t="shared" si="1"/>
        <v>16016</v>
      </c>
      <c r="J32" s="6">
        <f t="shared" si="2"/>
        <v>260</v>
      </c>
    </row>
    <row r="33" spans="1:10" x14ac:dyDescent="0.3">
      <c r="A33" s="2" t="s">
        <v>74</v>
      </c>
      <c r="B33" s="2" t="s">
        <v>75</v>
      </c>
      <c r="C33" s="2" t="s">
        <v>73</v>
      </c>
      <c r="D33" s="3">
        <v>150</v>
      </c>
      <c r="E33" s="2">
        <v>8</v>
      </c>
      <c r="F33" s="2">
        <v>90</v>
      </c>
      <c r="G33" s="3">
        <f t="shared" si="3"/>
        <v>12</v>
      </c>
      <c r="H33" s="3">
        <f t="shared" si="0"/>
        <v>138</v>
      </c>
      <c r="I33" s="3">
        <f t="shared" si="1"/>
        <v>12420</v>
      </c>
      <c r="J33" s="6">
        <f t="shared" si="2"/>
        <v>75</v>
      </c>
    </row>
    <row r="34" spans="1:10" x14ac:dyDescent="0.3">
      <c r="A34" s="2" t="s">
        <v>76</v>
      </c>
      <c r="B34" s="2" t="s">
        <v>77</v>
      </c>
      <c r="C34" s="2" t="s">
        <v>73</v>
      </c>
      <c r="D34" s="3">
        <v>80</v>
      </c>
      <c r="E34" s="2">
        <v>5</v>
      </c>
      <c r="F34" s="2">
        <v>75</v>
      </c>
      <c r="G34" s="3">
        <f t="shared" si="3"/>
        <v>4</v>
      </c>
      <c r="H34" s="3">
        <f t="shared" si="0"/>
        <v>76</v>
      </c>
      <c r="I34" s="3">
        <f t="shared" si="1"/>
        <v>5700</v>
      </c>
      <c r="J34" s="6">
        <f t="shared" si="2"/>
        <v>40</v>
      </c>
    </row>
    <row r="35" spans="1:10" x14ac:dyDescent="0.3">
      <c r="A35" s="2" t="s">
        <v>78</v>
      </c>
      <c r="B35" s="2" t="s">
        <v>79</v>
      </c>
      <c r="C35" s="2" t="s">
        <v>73</v>
      </c>
      <c r="D35" s="3">
        <v>3499</v>
      </c>
      <c r="E35" s="2">
        <v>18</v>
      </c>
      <c r="F35" s="2">
        <v>5</v>
      </c>
      <c r="G35" s="3">
        <f t="shared" si="3"/>
        <v>629.81999999999994</v>
      </c>
      <c r="H35" s="3">
        <f t="shared" si="0"/>
        <v>2869.1800000000003</v>
      </c>
      <c r="I35" s="3">
        <f t="shared" si="1"/>
        <v>14345.900000000001</v>
      </c>
      <c r="J35" s="6">
        <f t="shared" si="2"/>
        <v>1749.5</v>
      </c>
    </row>
    <row r="36" spans="1:10" x14ac:dyDescent="0.3">
      <c r="A36" s="2" t="s">
        <v>80</v>
      </c>
      <c r="B36" s="2" t="s">
        <v>81</v>
      </c>
      <c r="C36" s="2" t="s">
        <v>73</v>
      </c>
      <c r="D36" s="3">
        <v>699</v>
      </c>
      <c r="E36" s="2">
        <v>10</v>
      </c>
      <c r="F36" s="2">
        <v>40</v>
      </c>
      <c r="G36" s="3">
        <f t="shared" si="3"/>
        <v>69.900000000000006</v>
      </c>
      <c r="H36" s="3">
        <f t="shared" si="0"/>
        <v>629.1</v>
      </c>
      <c r="I36" s="3">
        <f t="shared" si="1"/>
        <v>25164</v>
      </c>
      <c r="J36" s="6">
        <f t="shared" si="2"/>
        <v>349.5</v>
      </c>
    </row>
    <row r="37" spans="1:10" x14ac:dyDescent="0.3">
      <c r="A37" s="2" t="s">
        <v>82</v>
      </c>
      <c r="B37" s="2" t="s">
        <v>83</v>
      </c>
      <c r="C37" s="2" t="s">
        <v>73</v>
      </c>
      <c r="D37" s="3">
        <v>499</v>
      </c>
      <c r="E37" s="2">
        <v>15</v>
      </c>
      <c r="F37" s="2">
        <v>20</v>
      </c>
      <c r="G37" s="3">
        <f t="shared" si="3"/>
        <v>74.849999999999994</v>
      </c>
      <c r="H37" s="3">
        <f t="shared" si="0"/>
        <v>424.15</v>
      </c>
      <c r="I37" s="3">
        <f t="shared" si="1"/>
        <v>8483</v>
      </c>
      <c r="J37" s="6">
        <f t="shared" si="2"/>
        <v>249.5</v>
      </c>
    </row>
    <row r="38" spans="1:10" x14ac:dyDescent="0.3">
      <c r="A38" s="2" t="s">
        <v>84</v>
      </c>
      <c r="B38" s="2" t="s">
        <v>85</v>
      </c>
      <c r="C38" s="2" t="s">
        <v>73</v>
      </c>
      <c r="D38" s="3">
        <v>899</v>
      </c>
      <c r="E38" s="2">
        <v>12</v>
      </c>
      <c r="F38" s="2">
        <v>25</v>
      </c>
      <c r="G38" s="3">
        <f t="shared" si="3"/>
        <v>107.88</v>
      </c>
      <c r="H38" s="3">
        <f t="shared" si="0"/>
        <v>791.12</v>
      </c>
      <c r="I38" s="3">
        <f t="shared" si="1"/>
        <v>19778</v>
      </c>
      <c r="J38" s="6">
        <f t="shared" si="2"/>
        <v>449.5</v>
      </c>
    </row>
    <row r="39" spans="1:10" x14ac:dyDescent="0.3">
      <c r="A39" s="2" t="s">
        <v>86</v>
      </c>
      <c r="B39" s="2" t="s">
        <v>87</v>
      </c>
      <c r="C39" s="2" t="s">
        <v>73</v>
      </c>
      <c r="D39" s="3">
        <v>999</v>
      </c>
      <c r="E39" s="2">
        <v>10</v>
      </c>
      <c r="F39" s="2">
        <v>30</v>
      </c>
      <c r="G39" s="3">
        <f t="shared" si="3"/>
        <v>99.9</v>
      </c>
      <c r="H39" s="3">
        <f t="shared" si="0"/>
        <v>899.1</v>
      </c>
      <c r="I39" s="3">
        <f t="shared" si="1"/>
        <v>26973</v>
      </c>
      <c r="J39" s="6">
        <f t="shared" si="2"/>
        <v>499.5</v>
      </c>
    </row>
    <row r="40" spans="1:10" x14ac:dyDescent="0.3">
      <c r="A40" s="2" t="s">
        <v>88</v>
      </c>
      <c r="B40" s="2" t="s">
        <v>89</v>
      </c>
      <c r="C40" s="2" t="s">
        <v>73</v>
      </c>
      <c r="D40" s="3">
        <v>599</v>
      </c>
      <c r="E40" s="2">
        <v>5</v>
      </c>
      <c r="F40" s="2">
        <v>45</v>
      </c>
      <c r="G40" s="3">
        <f t="shared" si="3"/>
        <v>29.950000000000003</v>
      </c>
      <c r="H40" s="3">
        <f t="shared" si="0"/>
        <v>569.04999999999995</v>
      </c>
      <c r="I40" s="3">
        <f t="shared" si="1"/>
        <v>25607.249999999996</v>
      </c>
      <c r="J40" s="6">
        <f t="shared" si="2"/>
        <v>299.5</v>
      </c>
    </row>
    <row r="41" spans="1:10" x14ac:dyDescent="0.3">
      <c r="A41" s="2" t="s">
        <v>90</v>
      </c>
      <c r="B41" s="2" t="s">
        <v>91</v>
      </c>
      <c r="C41" s="2" t="s">
        <v>73</v>
      </c>
      <c r="D41" s="3">
        <v>99</v>
      </c>
      <c r="E41" s="2">
        <v>8</v>
      </c>
      <c r="F41" s="2">
        <v>60</v>
      </c>
      <c r="G41" s="3">
        <f t="shared" si="3"/>
        <v>7.92</v>
      </c>
      <c r="H41" s="3">
        <f t="shared" si="0"/>
        <v>91.08</v>
      </c>
      <c r="I41" s="3">
        <f t="shared" si="1"/>
        <v>5464.8</v>
      </c>
      <c r="J41" s="6">
        <f t="shared" si="2"/>
        <v>49.5</v>
      </c>
    </row>
    <row r="42" spans="1:10" x14ac:dyDescent="0.3">
      <c r="A42" s="2" t="s">
        <v>92</v>
      </c>
      <c r="B42" s="2" t="s">
        <v>93</v>
      </c>
      <c r="C42" s="2" t="s">
        <v>52</v>
      </c>
      <c r="D42" s="3">
        <v>25</v>
      </c>
      <c r="E42" s="2">
        <v>5</v>
      </c>
      <c r="F42" s="2">
        <v>150</v>
      </c>
      <c r="G42" s="3">
        <f t="shared" si="3"/>
        <v>1.25</v>
      </c>
      <c r="H42" s="3">
        <f t="shared" si="0"/>
        <v>23.75</v>
      </c>
      <c r="I42" s="3">
        <f t="shared" si="1"/>
        <v>3562.5</v>
      </c>
      <c r="J42" s="6">
        <f t="shared" si="2"/>
        <v>12.5</v>
      </c>
    </row>
    <row r="43" spans="1:10" x14ac:dyDescent="0.3">
      <c r="A43" s="2" t="s">
        <v>94</v>
      </c>
      <c r="B43" s="2" t="s">
        <v>95</v>
      </c>
      <c r="C43" s="2" t="s">
        <v>10</v>
      </c>
      <c r="D43" s="3">
        <v>12999</v>
      </c>
      <c r="E43" s="2">
        <v>10</v>
      </c>
      <c r="F43" s="2">
        <v>7</v>
      </c>
      <c r="G43" s="3">
        <f t="shared" si="3"/>
        <v>1299.9000000000001</v>
      </c>
      <c r="H43" s="3">
        <f t="shared" si="0"/>
        <v>11699.1</v>
      </c>
      <c r="I43" s="3">
        <f t="shared" si="1"/>
        <v>81893.7</v>
      </c>
      <c r="J43" s="6">
        <f t="shared" si="2"/>
        <v>6499.5</v>
      </c>
    </row>
    <row r="44" spans="1:10" x14ac:dyDescent="0.3">
      <c r="A44" s="2" t="s">
        <v>96</v>
      </c>
      <c r="B44" s="2" t="s">
        <v>97</v>
      </c>
      <c r="C44" s="2" t="s">
        <v>10</v>
      </c>
      <c r="D44" s="3">
        <v>45999</v>
      </c>
      <c r="E44" s="2">
        <v>12</v>
      </c>
      <c r="F44" s="2">
        <v>3</v>
      </c>
      <c r="G44" s="3">
        <f t="shared" si="3"/>
        <v>5519.88</v>
      </c>
      <c r="H44" s="3">
        <f t="shared" si="0"/>
        <v>40479.120000000003</v>
      </c>
      <c r="I44" s="3">
        <f t="shared" si="1"/>
        <v>121437.36000000002</v>
      </c>
      <c r="J44" s="6">
        <f t="shared" si="2"/>
        <v>22999.5</v>
      </c>
    </row>
    <row r="45" spans="1:10" x14ac:dyDescent="0.3">
      <c r="A45" s="2" t="s">
        <v>98</v>
      </c>
      <c r="B45" s="2" t="s">
        <v>99</v>
      </c>
      <c r="C45" s="2" t="s">
        <v>10</v>
      </c>
      <c r="D45" s="3">
        <v>39999</v>
      </c>
      <c r="E45" s="2">
        <v>10</v>
      </c>
      <c r="F45" s="2">
        <v>4</v>
      </c>
      <c r="G45" s="3">
        <f t="shared" si="3"/>
        <v>3999.9</v>
      </c>
      <c r="H45" s="3">
        <f t="shared" si="0"/>
        <v>35999.1</v>
      </c>
      <c r="I45" s="3">
        <f t="shared" si="1"/>
        <v>143996.4</v>
      </c>
      <c r="J45" s="6">
        <f t="shared" si="2"/>
        <v>19999.5</v>
      </c>
    </row>
    <row r="46" spans="1:10" x14ac:dyDescent="0.3">
      <c r="A46" s="2" t="s">
        <v>100</v>
      </c>
      <c r="B46" s="2" t="s">
        <v>101</v>
      </c>
      <c r="C46" s="2" t="s">
        <v>10</v>
      </c>
      <c r="D46" s="3">
        <v>8999</v>
      </c>
      <c r="E46" s="2">
        <v>8</v>
      </c>
      <c r="F46" s="2">
        <v>6</v>
      </c>
      <c r="G46" s="3">
        <f t="shared" si="3"/>
        <v>719.92</v>
      </c>
      <c r="H46" s="3">
        <f t="shared" si="0"/>
        <v>8279.08</v>
      </c>
      <c r="I46" s="3">
        <f t="shared" si="1"/>
        <v>49674.479999999996</v>
      </c>
      <c r="J46" s="6">
        <f t="shared" si="2"/>
        <v>4499.5</v>
      </c>
    </row>
    <row r="47" spans="1:10" x14ac:dyDescent="0.3">
      <c r="A47" s="2" t="s">
        <v>102</v>
      </c>
      <c r="B47" s="2" t="s">
        <v>103</v>
      </c>
      <c r="C47" s="2" t="s">
        <v>31</v>
      </c>
      <c r="D47" s="3">
        <v>499</v>
      </c>
      <c r="E47" s="2">
        <v>15</v>
      </c>
      <c r="F47" s="2">
        <v>50</v>
      </c>
      <c r="G47" s="3">
        <f t="shared" si="3"/>
        <v>74.849999999999994</v>
      </c>
      <c r="H47" s="3">
        <f t="shared" si="0"/>
        <v>424.15</v>
      </c>
      <c r="I47" s="3">
        <f t="shared" si="1"/>
        <v>21207.5</v>
      </c>
      <c r="J47" s="6">
        <f t="shared" si="2"/>
        <v>249.5</v>
      </c>
    </row>
    <row r="48" spans="1:10" x14ac:dyDescent="0.3">
      <c r="A48" s="2" t="s">
        <v>104</v>
      </c>
      <c r="B48" s="2" t="s">
        <v>105</v>
      </c>
      <c r="C48" s="2" t="s">
        <v>52</v>
      </c>
      <c r="D48" s="3">
        <v>60</v>
      </c>
      <c r="E48" s="2">
        <v>5</v>
      </c>
      <c r="F48" s="2">
        <v>180</v>
      </c>
      <c r="G48" s="3">
        <f t="shared" si="3"/>
        <v>3</v>
      </c>
      <c r="H48" s="3">
        <f t="shared" si="0"/>
        <v>57</v>
      </c>
      <c r="I48" s="3">
        <f t="shared" si="1"/>
        <v>10260</v>
      </c>
      <c r="J48" s="6">
        <f t="shared" si="2"/>
        <v>30</v>
      </c>
    </row>
    <row r="49" spans="1:10" x14ac:dyDescent="0.3">
      <c r="A49" s="2" t="s">
        <v>106</v>
      </c>
      <c r="B49" s="2" t="s">
        <v>107</v>
      </c>
      <c r="C49" s="2" t="s">
        <v>52</v>
      </c>
      <c r="D49" s="3">
        <v>250</v>
      </c>
      <c r="E49" s="2">
        <v>10</v>
      </c>
      <c r="F49" s="2">
        <v>80</v>
      </c>
      <c r="G49" s="3">
        <f t="shared" si="3"/>
        <v>25</v>
      </c>
      <c r="H49" s="3">
        <f t="shared" si="0"/>
        <v>225</v>
      </c>
      <c r="I49" s="3">
        <f t="shared" si="1"/>
        <v>18000</v>
      </c>
      <c r="J49" s="6">
        <f t="shared" si="2"/>
        <v>125</v>
      </c>
    </row>
    <row r="50" spans="1:10" x14ac:dyDescent="0.3">
      <c r="A50" s="2" t="s">
        <v>108</v>
      </c>
      <c r="B50" s="2" t="s">
        <v>109</v>
      </c>
      <c r="C50" s="2" t="s">
        <v>52</v>
      </c>
      <c r="D50" s="3">
        <v>220</v>
      </c>
      <c r="E50" s="2">
        <v>12</v>
      </c>
      <c r="F50" s="2">
        <v>100</v>
      </c>
      <c r="G50" s="3">
        <f t="shared" si="3"/>
        <v>26.4</v>
      </c>
      <c r="H50" s="3">
        <f t="shared" si="0"/>
        <v>193.6</v>
      </c>
      <c r="I50" s="3">
        <f t="shared" si="1"/>
        <v>19360</v>
      </c>
      <c r="J50" s="6">
        <f t="shared" si="2"/>
        <v>110</v>
      </c>
    </row>
    <row r="51" spans="1:10" x14ac:dyDescent="0.3">
      <c r="A51" s="2" t="s">
        <v>110</v>
      </c>
      <c r="B51" s="2" t="s">
        <v>111</v>
      </c>
      <c r="C51" s="2" t="s">
        <v>52</v>
      </c>
      <c r="D51" s="3">
        <v>180</v>
      </c>
      <c r="E51" s="2">
        <v>8</v>
      </c>
      <c r="F51" s="2">
        <v>95</v>
      </c>
      <c r="G51" s="3">
        <f t="shared" si="3"/>
        <v>14.4</v>
      </c>
      <c r="H51" s="3">
        <f t="shared" si="0"/>
        <v>165.6</v>
      </c>
      <c r="I51" s="3">
        <f t="shared" si="1"/>
        <v>15732</v>
      </c>
      <c r="J51" s="6">
        <f t="shared" si="2"/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-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2025-10-26T08:07:51Z</dcterms:modified>
</cp:coreProperties>
</file>