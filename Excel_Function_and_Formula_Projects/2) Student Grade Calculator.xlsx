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W DataAnalyticsFinalNotes\1 - Excel Final\Excel Projects\1) Excel Functions and Formula Project\"/>
    </mc:Choice>
  </mc:AlternateContent>
  <xr:revisionPtr revIDLastSave="0" documentId="13_ncr:1_{7C28529F-7D2C-4D47-94EA-E2DF15B8782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iv - A" sheetId="1" r:id="rId1"/>
    <sheet name="Div - B" sheetId="2" r:id="rId2"/>
    <sheet name="Div - 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2" i="2"/>
  <c r="K9" i="3"/>
  <c r="K10" i="3"/>
  <c r="K17" i="3"/>
  <c r="J3" i="3"/>
  <c r="J4" i="3"/>
  <c r="J5" i="3"/>
  <c r="J10" i="3"/>
  <c r="J11" i="3"/>
  <c r="J19" i="3"/>
  <c r="J27" i="3"/>
  <c r="J28" i="3"/>
  <c r="J29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2" i="2"/>
  <c r="I33" i="2"/>
  <c r="I34" i="2"/>
  <c r="I35" i="2"/>
  <c r="I36" i="2"/>
  <c r="I12" i="3"/>
  <c r="J12" i="3" s="1"/>
  <c r="I17" i="3"/>
  <c r="J17" i="3" s="1"/>
  <c r="I18" i="3"/>
  <c r="K18" i="3" s="1"/>
  <c r="I20" i="3"/>
  <c r="J20" i="3" s="1"/>
  <c r="I21" i="3"/>
  <c r="J21" i="3" s="1"/>
  <c r="I26" i="3"/>
  <c r="K26" i="3" s="1"/>
  <c r="I28" i="3"/>
  <c r="K28" i="3" s="1"/>
  <c r="I29" i="3"/>
  <c r="K29" i="3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" i="3"/>
  <c r="I3" i="3" s="1"/>
  <c r="K3" i="3" s="1"/>
  <c r="H4" i="3"/>
  <c r="I4" i="3" s="1"/>
  <c r="K4" i="3" s="1"/>
  <c r="H5" i="3"/>
  <c r="I5" i="3" s="1"/>
  <c r="K5" i="3" s="1"/>
  <c r="H6" i="3"/>
  <c r="I6" i="3" s="1"/>
  <c r="J6" i="3" s="1"/>
  <c r="H7" i="3"/>
  <c r="I7" i="3" s="1"/>
  <c r="J7" i="3" s="1"/>
  <c r="H8" i="3"/>
  <c r="I8" i="3" s="1"/>
  <c r="K8" i="3" s="1"/>
  <c r="H9" i="3"/>
  <c r="I9" i="3" s="1"/>
  <c r="J9" i="3" s="1"/>
  <c r="H10" i="3"/>
  <c r="I10" i="3" s="1"/>
  <c r="H11" i="3"/>
  <c r="I11" i="3" s="1"/>
  <c r="K11" i="3" s="1"/>
  <c r="H12" i="3"/>
  <c r="H13" i="3"/>
  <c r="I13" i="3" s="1"/>
  <c r="H14" i="3"/>
  <c r="I14" i="3" s="1"/>
  <c r="H15" i="3"/>
  <c r="I15" i="3" s="1"/>
  <c r="H16" i="3"/>
  <c r="I16" i="3" s="1"/>
  <c r="H17" i="3"/>
  <c r="H18" i="3"/>
  <c r="H19" i="3"/>
  <c r="I19" i="3" s="1"/>
  <c r="K19" i="3" s="1"/>
  <c r="H20" i="3"/>
  <c r="H21" i="3"/>
  <c r="H22" i="3"/>
  <c r="I22" i="3" s="1"/>
  <c r="H23" i="3"/>
  <c r="I23" i="3" s="1"/>
  <c r="H24" i="3"/>
  <c r="I24" i="3" s="1"/>
  <c r="H25" i="3"/>
  <c r="I25" i="3" s="1"/>
  <c r="H26" i="3"/>
  <c r="H27" i="3"/>
  <c r="I27" i="3" s="1"/>
  <c r="K27" i="3" s="1"/>
  <c r="H28" i="3"/>
  <c r="H29" i="3"/>
  <c r="H2" i="2"/>
  <c r="H2" i="3"/>
  <c r="I2" i="3" s="1"/>
  <c r="H2" i="1"/>
  <c r="I2" i="1" s="1"/>
  <c r="J13" i="3" l="1"/>
  <c r="K13" i="3"/>
  <c r="K25" i="3"/>
  <c r="J25" i="3"/>
  <c r="K24" i="3"/>
  <c r="J24" i="3"/>
  <c r="K16" i="3"/>
  <c r="J16" i="3"/>
  <c r="J2" i="3"/>
  <c r="K2" i="3"/>
  <c r="J23" i="3"/>
  <c r="K23" i="3"/>
  <c r="K15" i="3"/>
  <c r="J15" i="3"/>
  <c r="J22" i="3"/>
  <c r="K22" i="3"/>
  <c r="J14" i="3"/>
  <c r="K14" i="3"/>
  <c r="K7" i="3"/>
  <c r="J26" i="3"/>
  <c r="K6" i="3"/>
  <c r="K21" i="3"/>
  <c r="J8" i="3"/>
  <c r="K20" i="3"/>
  <c r="K12" i="3"/>
  <c r="J18" i="3"/>
</calcChain>
</file>

<file path=xl/sharedStrings.xml><?xml version="1.0" encoding="utf-8"?>
<sst xmlns="http://schemas.openxmlformats.org/spreadsheetml/2006/main" count="219" uniqueCount="197">
  <si>
    <t>Roll No</t>
  </si>
  <si>
    <t>Name</t>
  </si>
  <si>
    <t>English</t>
  </si>
  <si>
    <t>Maths</t>
  </si>
  <si>
    <t>Science</t>
  </si>
  <si>
    <t>Computer</t>
  </si>
  <si>
    <t>Social</t>
  </si>
  <si>
    <t>A01</t>
  </si>
  <si>
    <t>Aarav Mehta</t>
  </si>
  <si>
    <t>A02</t>
  </si>
  <si>
    <t>Ananya Sharma</t>
  </si>
  <si>
    <t>A03</t>
  </si>
  <si>
    <t>Karan Joshi</t>
  </si>
  <si>
    <t>A04</t>
  </si>
  <si>
    <t>Riya Patel</t>
  </si>
  <si>
    <t>A05</t>
  </si>
  <si>
    <t>Tanvi Das</t>
  </si>
  <si>
    <t>A06</t>
  </si>
  <si>
    <t>Arnav Singh</t>
  </si>
  <si>
    <t>A07</t>
  </si>
  <si>
    <t>Ishita Roy</t>
  </si>
  <si>
    <t>A08</t>
  </si>
  <si>
    <t>Devansh Jain</t>
  </si>
  <si>
    <t>A09</t>
  </si>
  <si>
    <t>Sneha Gupta</t>
  </si>
  <si>
    <t>A10</t>
  </si>
  <si>
    <t>Nikhil Rao</t>
  </si>
  <si>
    <t>A11</t>
  </si>
  <si>
    <t>Priya Nair</t>
  </si>
  <si>
    <t>A12</t>
  </si>
  <si>
    <t>Varun Pillai</t>
  </si>
  <si>
    <t>A13</t>
  </si>
  <si>
    <t>Rachit Verma</t>
  </si>
  <si>
    <t>A14</t>
  </si>
  <si>
    <t>Kavya Jain</t>
  </si>
  <si>
    <t>A15</t>
  </si>
  <si>
    <t>Ishaan Yadav</t>
  </si>
  <si>
    <t>A16</t>
  </si>
  <si>
    <t>Meera Joshi</t>
  </si>
  <si>
    <t>A17</t>
  </si>
  <si>
    <t>Tanishka Roy</t>
  </si>
  <si>
    <t>A18</t>
  </si>
  <si>
    <t>Rohan Khanna</t>
  </si>
  <si>
    <t>A19</t>
  </si>
  <si>
    <t>Simran Kaur</t>
  </si>
  <si>
    <t>A20</t>
  </si>
  <si>
    <t>Aryan Sinha</t>
  </si>
  <si>
    <t>A21</t>
  </si>
  <si>
    <t>Pooja Bhat</t>
  </si>
  <si>
    <t>A22</t>
  </si>
  <si>
    <t>Deep Mehta</t>
  </si>
  <si>
    <t>A23</t>
  </si>
  <si>
    <t>Krisha Patel</t>
  </si>
  <si>
    <t>A24</t>
  </si>
  <si>
    <t>Yash Sharma</t>
  </si>
  <si>
    <t>A25</t>
  </si>
  <si>
    <t>Alisha Rao</t>
  </si>
  <si>
    <t>A26</t>
  </si>
  <si>
    <t>Neel Raj</t>
  </si>
  <si>
    <t>A27</t>
  </si>
  <si>
    <t>Avantika Iyer</t>
  </si>
  <si>
    <t>A28</t>
  </si>
  <si>
    <t>Harshit Kumar</t>
  </si>
  <si>
    <t>A29</t>
  </si>
  <si>
    <t>Nisha Das</t>
  </si>
  <si>
    <t>A30</t>
  </si>
  <si>
    <t>Vikas Sharma</t>
  </si>
  <si>
    <t>B01</t>
  </si>
  <si>
    <t>Aditya Verma</t>
  </si>
  <si>
    <t>B02</t>
  </si>
  <si>
    <t>Snehal More</t>
  </si>
  <si>
    <t>B03</t>
  </si>
  <si>
    <t>Kunal Singh</t>
  </si>
  <si>
    <t>B04</t>
  </si>
  <si>
    <t>Ritu Sharma</t>
  </si>
  <si>
    <t>B05</t>
  </si>
  <si>
    <t>Gaurav Jain</t>
  </si>
  <si>
    <t>B06</t>
  </si>
  <si>
    <t>Shruti Pillai</t>
  </si>
  <si>
    <t>B07</t>
  </si>
  <si>
    <t>Manav Desai</t>
  </si>
  <si>
    <t>B08</t>
  </si>
  <si>
    <t>Kavita Yadav</t>
  </si>
  <si>
    <t>B09</t>
  </si>
  <si>
    <t>Arjun Iyer</t>
  </si>
  <si>
    <t>B10</t>
  </si>
  <si>
    <t>Jiya Sharma</t>
  </si>
  <si>
    <t>B11</t>
  </si>
  <si>
    <t>Rehan Khan</t>
  </si>
  <si>
    <t>B12</t>
  </si>
  <si>
    <t>Bhavana Joshi</t>
  </si>
  <si>
    <t>B13</t>
  </si>
  <si>
    <t>Chirag Malhotra</t>
  </si>
  <si>
    <t>B14</t>
  </si>
  <si>
    <t>Neha Mehta</t>
  </si>
  <si>
    <t>B15</t>
  </si>
  <si>
    <t>Ayush Patel</t>
  </si>
  <si>
    <t>B16</t>
  </si>
  <si>
    <t>Shreya Nair</t>
  </si>
  <si>
    <t>B17</t>
  </si>
  <si>
    <t>Rahul Deshmukh</t>
  </si>
  <si>
    <t>B18</t>
  </si>
  <si>
    <t>Divya Singh</t>
  </si>
  <si>
    <t>B19</t>
  </si>
  <si>
    <t>Vihan Gupta</t>
  </si>
  <si>
    <t>B20</t>
  </si>
  <si>
    <t>Roshni Kumar</t>
  </si>
  <si>
    <t>B21</t>
  </si>
  <si>
    <t>Saanvi Rao</t>
  </si>
  <si>
    <t>B22</t>
  </si>
  <si>
    <t>Aarushi Jain</t>
  </si>
  <si>
    <t>B23</t>
  </si>
  <si>
    <t>Tarun Mehta</t>
  </si>
  <si>
    <t>B24</t>
  </si>
  <si>
    <t>Kritika Das</t>
  </si>
  <si>
    <t>B25</t>
  </si>
  <si>
    <t>Dev Raj</t>
  </si>
  <si>
    <t>B26</t>
  </si>
  <si>
    <t>Aradhya Sen</t>
  </si>
  <si>
    <t>B27</t>
  </si>
  <si>
    <t>Rachana Pillai</t>
  </si>
  <si>
    <t>B28</t>
  </si>
  <si>
    <t>Sarthak Sharma</t>
  </si>
  <si>
    <t>B29</t>
  </si>
  <si>
    <t>Deepanshi Verma</t>
  </si>
  <si>
    <t>B30</t>
  </si>
  <si>
    <t>Kiran Kumar</t>
  </si>
  <si>
    <t>B31</t>
  </si>
  <si>
    <t>Om Patel</t>
  </si>
  <si>
    <t>B32</t>
  </si>
  <si>
    <t>Ritika Singh</t>
  </si>
  <si>
    <t>B33</t>
  </si>
  <si>
    <t>Naman Shah</t>
  </si>
  <si>
    <t>B34</t>
  </si>
  <si>
    <t>Aarohi Joshi</t>
  </si>
  <si>
    <t>B35</t>
  </si>
  <si>
    <t>Devesh Rao</t>
  </si>
  <si>
    <t>C01</t>
  </si>
  <si>
    <t>Aanya Verma</t>
  </si>
  <si>
    <t>C02</t>
  </si>
  <si>
    <t>Hriday Sharma</t>
  </si>
  <si>
    <t>C03</t>
  </si>
  <si>
    <t>Kriti Patel</t>
  </si>
  <si>
    <t>C04</t>
  </si>
  <si>
    <t>Soham Joshi</t>
  </si>
  <si>
    <t>C05</t>
  </si>
  <si>
    <t>Diya Rao</t>
  </si>
  <si>
    <t>C06</t>
  </si>
  <si>
    <t>Arav Malhotra</t>
  </si>
  <si>
    <t>C07</t>
  </si>
  <si>
    <t>Nisha Shah</t>
  </si>
  <si>
    <t>C08</t>
  </si>
  <si>
    <t>Vikas Jain</t>
  </si>
  <si>
    <t>C09</t>
  </si>
  <si>
    <t>Tanu Mehra</t>
  </si>
  <si>
    <t>C10</t>
  </si>
  <si>
    <t>Rajat Nair</t>
  </si>
  <si>
    <t>C11</t>
  </si>
  <si>
    <t>Aarohi Sen</t>
  </si>
  <si>
    <t>C12</t>
  </si>
  <si>
    <t>Pranav Mehta</t>
  </si>
  <si>
    <t>C13</t>
  </si>
  <si>
    <t>Isha Gupta</t>
  </si>
  <si>
    <t>C14</t>
  </si>
  <si>
    <t>Samir Desai</t>
  </si>
  <si>
    <t>C15</t>
  </si>
  <si>
    <t>Tia Sharma</t>
  </si>
  <si>
    <t>C16</t>
  </si>
  <si>
    <t>Rachit Iyer</t>
  </si>
  <si>
    <t>C17</t>
  </si>
  <si>
    <t>Priyanka Jain</t>
  </si>
  <si>
    <t>C18</t>
  </si>
  <si>
    <t>Aryan Bhat</t>
  </si>
  <si>
    <t>C19</t>
  </si>
  <si>
    <t>Ria Malhotra</t>
  </si>
  <si>
    <t>C20</t>
  </si>
  <si>
    <t>Yuvraj Singh</t>
  </si>
  <si>
    <t>C21</t>
  </si>
  <si>
    <t>Kavya Das</t>
  </si>
  <si>
    <t>C22</t>
  </si>
  <si>
    <t>Aditya Pillai</t>
  </si>
  <si>
    <t>C23</t>
  </si>
  <si>
    <t>Meena Roy</t>
  </si>
  <si>
    <t>C24</t>
  </si>
  <si>
    <t>Anuj Sinha</t>
  </si>
  <si>
    <t>C25</t>
  </si>
  <si>
    <t>Lavanya Rao</t>
  </si>
  <si>
    <t>C26</t>
  </si>
  <si>
    <t>Neeraj Yadav</t>
  </si>
  <si>
    <t>C27</t>
  </si>
  <si>
    <t>Arpita Singh</t>
  </si>
  <si>
    <t>C28</t>
  </si>
  <si>
    <t>Ishaan Mehta</t>
  </si>
  <si>
    <t>Total Marks</t>
  </si>
  <si>
    <t>Percentage</t>
  </si>
  <si>
    <t>Grade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</si>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</sst>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O18" sqref="O18"/>
    </sheetView>
  </sheetViews>
  <sheetFormatPr defaultRowHeight="14.4" x14ac:dyDescent="0.3"/>
  <cols>
    <col min="1" max="1" width="7" bestFit="1" customWidth="1"/>
    <col min="2" max="2" width="13.6640625" bestFit="1" customWidth="1"/>
    <col min="3" max="3" width="6.88671875" bestFit="1" customWidth="1"/>
    <col min="4" max="4" width="6.33203125" bestFit="1" customWidth="1"/>
    <col min="5" max="5" width="7.33203125" bestFit="1" customWidth="1"/>
    <col min="6" max="6" width="9.44140625" bestFit="1" customWidth="1"/>
    <col min="7" max="7" width="5.88671875" bestFit="1" customWidth="1"/>
    <col min="8" max="8" width="10.88671875" bestFit="1" customWidth="1"/>
    <col min="9" max="9" width="10.44140625" bestFit="1" customWidth="1"/>
    <col min="10" max="10" width="6" bestFit="1" customWidth="1"/>
    <col min="11" max="11" width="6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193</v>
      </c>
      <c r="I1" s="3" t="s">
        <v>194</v>
      </c>
      <c r="J1" s="3" t="s">
        <v>195</v>
      </c>
      <c r="K1" s="3" t="s">
        <v>196</v>
      </c>
    </row>
    <row r="2" spans="1:11" x14ac:dyDescent="0.3">
      <c r="A2" s="2" t="s">
        <v>7</v>
      </c>
      <c r="B2" s="2" t="s">
        <v>8</v>
      </c>
      <c r="C2" s="2">
        <v>78</v>
      </c>
      <c r="D2" s="2">
        <v>85</v>
      </c>
      <c r="E2" s="2">
        <v>80</v>
      </c>
      <c r="F2" s="2">
        <v>88</v>
      </c>
      <c r="G2" s="2">
        <v>79</v>
      </c>
      <c r="H2" s="4">
        <f>SUM(C2:G2)</f>
        <v>410</v>
      </c>
      <c r="I2" s="4">
        <f>H2/500*100</f>
        <v>82</v>
      </c>
      <c r="J2" s="4" t="str">
        <f>IF(I2&gt;=90,"A+",IF(I2&gt;=80,"A",IF(I2&gt;=70,"B+",IF(I2&gt;=60,"B",IF(AND(I2&gt;=35,I2&lt;60),"C","Fail")))))</f>
        <v>A</v>
      </c>
      <c r="K2" s="4" t="str">
        <f>IF(I2&gt;=35,"Pass","Fail")</f>
        <v>Pass</v>
      </c>
    </row>
    <row r="3" spans="1:11" x14ac:dyDescent="0.3">
      <c r="A3" s="2" t="s">
        <v>9</v>
      </c>
      <c r="B3" s="2" t="s">
        <v>10</v>
      </c>
      <c r="C3" s="2">
        <v>82</v>
      </c>
      <c r="D3" s="2">
        <v>76</v>
      </c>
      <c r="E3" s="2">
        <v>88</v>
      </c>
      <c r="F3" s="2">
        <v>90</v>
      </c>
      <c r="G3" s="2">
        <v>85</v>
      </c>
      <c r="H3" s="4">
        <f t="shared" ref="H3:H31" si="0">SUM(C3:G3)</f>
        <v>421</v>
      </c>
      <c r="I3" s="4">
        <f t="shared" ref="I3:I31" si="1">H3/500*100</f>
        <v>84.2</v>
      </c>
      <c r="J3" s="4" t="str">
        <f t="shared" ref="J3:J31" si="2">IF(I3&gt;=90,"A+",IF(I3&gt;=80,"A",IF(I3&gt;=70,"B+",IF(I3&gt;=60,"B",IF(AND(I3&gt;=35,I3&lt;60),"C","Fail")))))</f>
        <v>A</v>
      </c>
      <c r="K3" s="4" t="str">
        <f t="shared" ref="K3:K31" si="3">IF(I3&gt;=35,"Pass","Fail")</f>
        <v>Pass</v>
      </c>
    </row>
    <row r="4" spans="1:11" x14ac:dyDescent="0.3">
      <c r="A4" s="2" t="s">
        <v>11</v>
      </c>
      <c r="B4" s="2" t="s">
        <v>12</v>
      </c>
      <c r="C4" s="2">
        <v>65</v>
      </c>
      <c r="D4" s="2">
        <v>70</v>
      </c>
      <c r="E4" s="2">
        <v>68</v>
      </c>
      <c r="F4" s="2">
        <v>72</v>
      </c>
      <c r="G4" s="2">
        <v>66</v>
      </c>
      <c r="H4" s="4">
        <f t="shared" si="0"/>
        <v>341</v>
      </c>
      <c r="I4" s="4">
        <f t="shared" si="1"/>
        <v>68.2</v>
      </c>
      <c r="J4" s="4" t="str">
        <f t="shared" si="2"/>
        <v>B</v>
      </c>
      <c r="K4" s="4" t="str">
        <f t="shared" si="3"/>
        <v>Pass</v>
      </c>
    </row>
    <row r="5" spans="1:11" x14ac:dyDescent="0.3">
      <c r="A5" s="2" t="s">
        <v>13</v>
      </c>
      <c r="B5" s="2" t="s">
        <v>14</v>
      </c>
      <c r="C5" s="2">
        <v>90</v>
      </c>
      <c r="D5" s="2">
        <v>92</v>
      </c>
      <c r="E5" s="2">
        <v>95</v>
      </c>
      <c r="F5" s="2">
        <v>94</v>
      </c>
      <c r="G5" s="2">
        <v>91</v>
      </c>
      <c r="H5" s="4">
        <f t="shared" si="0"/>
        <v>462</v>
      </c>
      <c r="I5" s="4">
        <f t="shared" si="1"/>
        <v>92.4</v>
      </c>
      <c r="J5" s="4" t="str">
        <f t="shared" si="2"/>
        <v>A+</v>
      </c>
      <c r="K5" s="4" t="str">
        <f t="shared" si="3"/>
        <v>Pass</v>
      </c>
    </row>
    <row r="6" spans="1:11" x14ac:dyDescent="0.3">
      <c r="A6" s="2" t="s">
        <v>15</v>
      </c>
      <c r="B6" s="2" t="s">
        <v>16</v>
      </c>
      <c r="C6" s="2">
        <v>55</v>
      </c>
      <c r="D6" s="2">
        <v>60</v>
      </c>
      <c r="E6" s="2">
        <v>57</v>
      </c>
      <c r="F6" s="2">
        <v>59</v>
      </c>
      <c r="G6" s="2">
        <v>61</v>
      </c>
      <c r="H6" s="4">
        <f t="shared" si="0"/>
        <v>292</v>
      </c>
      <c r="I6" s="4">
        <f t="shared" si="1"/>
        <v>58.4</v>
      </c>
      <c r="J6" s="4" t="str">
        <f t="shared" si="2"/>
        <v>C</v>
      </c>
      <c r="K6" s="4" t="str">
        <f t="shared" si="3"/>
        <v>Pass</v>
      </c>
    </row>
    <row r="7" spans="1:11" x14ac:dyDescent="0.3">
      <c r="A7" s="2" t="s">
        <v>17</v>
      </c>
      <c r="B7" s="2" t="s">
        <v>18</v>
      </c>
      <c r="C7" s="2">
        <v>72</v>
      </c>
      <c r="D7" s="2">
        <v>75</v>
      </c>
      <c r="E7" s="2">
        <v>73</v>
      </c>
      <c r="F7" s="2">
        <v>70</v>
      </c>
      <c r="G7" s="2">
        <v>76</v>
      </c>
      <c r="H7" s="4">
        <f t="shared" si="0"/>
        <v>366</v>
      </c>
      <c r="I7" s="4">
        <f t="shared" si="1"/>
        <v>73.2</v>
      </c>
      <c r="J7" s="4" t="str">
        <f t="shared" si="2"/>
        <v>B+</v>
      </c>
      <c r="K7" s="4" t="str">
        <f t="shared" si="3"/>
        <v>Pass</v>
      </c>
    </row>
    <row r="8" spans="1:11" x14ac:dyDescent="0.3">
      <c r="A8" s="2" t="s">
        <v>19</v>
      </c>
      <c r="B8" s="2" t="s">
        <v>20</v>
      </c>
      <c r="C8" s="2">
        <v>85</v>
      </c>
      <c r="D8" s="2">
        <v>89</v>
      </c>
      <c r="E8" s="2">
        <v>87</v>
      </c>
      <c r="F8" s="2">
        <v>88</v>
      </c>
      <c r="G8" s="2">
        <v>86</v>
      </c>
      <c r="H8" s="4">
        <f t="shared" si="0"/>
        <v>435</v>
      </c>
      <c r="I8" s="4">
        <f t="shared" si="1"/>
        <v>87</v>
      </c>
      <c r="J8" s="4" t="str">
        <f t="shared" si="2"/>
        <v>A</v>
      </c>
      <c r="K8" s="4" t="str">
        <f t="shared" si="3"/>
        <v>Pass</v>
      </c>
    </row>
    <row r="9" spans="1:11" x14ac:dyDescent="0.3">
      <c r="A9" s="2" t="s">
        <v>21</v>
      </c>
      <c r="B9" s="2" t="s">
        <v>22</v>
      </c>
      <c r="C9" s="2">
        <v>64</v>
      </c>
      <c r="D9" s="2">
        <v>58</v>
      </c>
      <c r="E9" s="2">
        <v>62</v>
      </c>
      <c r="F9" s="2">
        <v>60</v>
      </c>
      <c r="G9" s="2">
        <v>65</v>
      </c>
      <c r="H9" s="4">
        <f t="shared" si="0"/>
        <v>309</v>
      </c>
      <c r="I9" s="4">
        <f t="shared" si="1"/>
        <v>61.8</v>
      </c>
      <c r="J9" s="4" t="str">
        <f t="shared" si="2"/>
        <v>B</v>
      </c>
      <c r="K9" s="4" t="str">
        <f t="shared" si="3"/>
        <v>Pass</v>
      </c>
    </row>
    <row r="10" spans="1:11" x14ac:dyDescent="0.3">
      <c r="A10" s="2" t="s">
        <v>23</v>
      </c>
      <c r="B10" s="2" t="s">
        <v>24</v>
      </c>
      <c r="C10" s="2">
        <v>93</v>
      </c>
      <c r="D10" s="2">
        <v>95</v>
      </c>
      <c r="E10" s="2">
        <v>96</v>
      </c>
      <c r="F10" s="2">
        <v>97</v>
      </c>
      <c r="G10" s="2">
        <v>92</v>
      </c>
      <c r="H10" s="4">
        <f t="shared" si="0"/>
        <v>473</v>
      </c>
      <c r="I10" s="4">
        <f t="shared" si="1"/>
        <v>94.6</v>
      </c>
      <c r="J10" s="4" t="str">
        <f t="shared" si="2"/>
        <v>A+</v>
      </c>
      <c r="K10" s="4" t="str">
        <f t="shared" si="3"/>
        <v>Pass</v>
      </c>
    </row>
    <row r="11" spans="1:11" x14ac:dyDescent="0.3">
      <c r="A11" s="2" t="s">
        <v>25</v>
      </c>
      <c r="B11" s="2" t="s">
        <v>26</v>
      </c>
      <c r="C11" s="2">
        <v>71</v>
      </c>
      <c r="D11" s="2">
        <v>74</v>
      </c>
      <c r="E11" s="2">
        <v>69</v>
      </c>
      <c r="F11" s="2">
        <v>72</v>
      </c>
      <c r="G11" s="2">
        <v>70</v>
      </c>
      <c r="H11" s="4">
        <f t="shared" si="0"/>
        <v>356</v>
      </c>
      <c r="I11" s="4">
        <f t="shared" si="1"/>
        <v>71.2</v>
      </c>
      <c r="J11" s="4" t="str">
        <f t="shared" si="2"/>
        <v>B+</v>
      </c>
      <c r="K11" s="4" t="str">
        <f t="shared" si="3"/>
        <v>Pass</v>
      </c>
    </row>
    <row r="12" spans="1:11" x14ac:dyDescent="0.3">
      <c r="A12" s="2" t="s">
        <v>27</v>
      </c>
      <c r="B12" s="2" t="s">
        <v>28</v>
      </c>
      <c r="C12" s="2">
        <v>88</v>
      </c>
      <c r="D12" s="2">
        <v>84</v>
      </c>
      <c r="E12" s="2">
        <v>86</v>
      </c>
      <c r="F12" s="2">
        <v>89</v>
      </c>
      <c r="G12" s="2">
        <v>90</v>
      </c>
      <c r="H12" s="4">
        <f t="shared" si="0"/>
        <v>437</v>
      </c>
      <c r="I12" s="4">
        <f t="shared" si="1"/>
        <v>87.4</v>
      </c>
      <c r="J12" s="4" t="str">
        <f t="shared" si="2"/>
        <v>A</v>
      </c>
      <c r="K12" s="4" t="str">
        <f t="shared" si="3"/>
        <v>Pass</v>
      </c>
    </row>
    <row r="13" spans="1:11" x14ac:dyDescent="0.3">
      <c r="A13" s="2" t="s">
        <v>29</v>
      </c>
      <c r="B13" s="2" t="s">
        <v>30</v>
      </c>
      <c r="C13" s="2">
        <v>60</v>
      </c>
      <c r="D13" s="2">
        <v>68</v>
      </c>
      <c r="E13" s="2">
        <v>64</v>
      </c>
      <c r="F13" s="2">
        <v>65</v>
      </c>
      <c r="G13" s="2">
        <v>61</v>
      </c>
      <c r="H13" s="4">
        <f t="shared" si="0"/>
        <v>318</v>
      </c>
      <c r="I13" s="4">
        <f t="shared" si="1"/>
        <v>63.6</v>
      </c>
      <c r="J13" s="4" t="str">
        <f t="shared" si="2"/>
        <v>B</v>
      </c>
      <c r="K13" s="4" t="str">
        <f t="shared" si="3"/>
        <v>Pass</v>
      </c>
    </row>
    <row r="14" spans="1:11" x14ac:dyDescent="0.3">
      <c r="A14" s="2" t="s">
        <v>31</v>
      </c>
      <c r="B14" s="2" t="s">
        <v>32</v>
      </c>
      <c r="C14" s="2">
        <v>80</v>
      </c>
      <c r="D14" s="2">
        <v>82</v>
      </c>
      <c r="E14" s="2">
        <v>78</v>
      </c>
      <c r="F14" s="2">
        <v>81</v>
      </c>
      <c r="G14" s="2">
        <v>79</v>
      </c>
      <c r="H14" s="4">
        <f t="shared" si="0"/>
        <v>400</v>
      </c>
      <c r="I14" s="4">
        <f t="shared" si="1"/>
        <v>80</v>
      </c>
      <c r="J14" s="4" t="str">
        <f t="shared" si="2"/>
        <v>A</v>
      </c>
      <c r="K14" s="4" t="str">
        <f t="shared" si="3"/>
        <v>Pass</v>
      </c>
    </row>
    <row r="15" spans="1:11" x14ac:dyDescent="0.3">
      <c r="A15" s="2" t="s">
        <v>33</v>
      </c>
      <c r="B15" s="2" t="s">
        <v>34</v>
      </c>
      <c r="C15" s="2">
        <v>73</v>
      </c>
      <c r="D15" s="2">
        <v>78</v>
      </c>
      <c r="E15" s="2">
        <v>75</v>
      </c>
      <c r="F15" s="2">
        <v>77</v>
      </c>
      <c r="G15" s="2">
        <v>74</v>
      </c>
      <c r="H15" s="4">
        <f t="shared" si="0"/>
        <v>377</v>
      </c>
      <c r="I15" s="4">
        <f t="shared" si="1"/>
        <v>75.400000000000006</v>
      </c>
      <c r="J15" s="4" t="str">
        <f t="shared" si="2"/>
        <v>B+</v>
      </c>
      <c r="K15" s="4" t="str">
        <f t="shared" si="3"/>
        <v>Pass</v>
      </c>
    </row>
    <row r="16" spans="1:11" x14ac:dyDescent="0.3">
      <c r="A16" s="2" t="s">
        <v>35</v>
      </c>
      <c r="B16" s="2" t="s">
        <v>36</v>
      </c>
      <c r="C16" s="2">
        <v>59</v>
      </c>
      <c r="D16" s="2">
        <v>62</v>
      </c>
      <c r="E16" s="2">
        <v>61</v>
      </c>
      <c r="F16" s="2">
        <v>65</v>
      </c>
      <c r="G16" s="2">
        <v>63</v>
      </c>
      <c r="H16" s="4">
        <f t="shared" si="0"/>
        <v>310</v>
      </c>
      <c r="I16" s="4">
        <f t="shared" si="1"/>
        <v>62</v>
      </c>
      <c r="J16" s="4" t="str">
        <f t="shared" si="2"/>
        <v>B</v>
      </c>
      <c r="K16" s="4" t="str">
        <f t="shared" si="3"/>
        <v>Pass</v>
      </c>
    </row>
    <row r="17" spans="1:11" x14ac:dyDescent="0.3">
      <c r="A17" s="2" t="s">
        <v>37</v>
      </c>
      <c r="B17" s="2" t="s">
        <v>38</v>
      </c>
      <c r="C17" s="2">
        <v>91</v>
      </c>
      <c r="D17" s="2">
        <v>90</v>
      </c>
      <c r="E17" s="2">
        <v>92</v>
      </c>
      <c r="F17" s="2">
        <v>94</v>
      </c>
      <c r="G17" s="2">
        <v>93</v>
      </c>
      <c r="H17" s="4">
        <f t="shared" si="0"/>
        <v>460</v>
      </c>
      <c r="I17" s="4">
        <f t="shared" si="1"/>
        <v>92</v>
      </c>
      <c r="J17" s="4" t="str">
        <f t="shared" si="2"/>
        <v>A+</v>
      </c>
      <c r="K17" s="4" t="str">
        <f t="shared" si="3"/>
        <v>Pass</v>
      </c>
    </row>
    <row r="18" spans="1:11" x14ac:dyDescent="0.3">
      <c r="A18" s="2" t="s">
        <v>39</v>
      </c>
      <c r="B18" s="2" t="s">
        <v>40</v>
      </c>
      <c r="C18" s="2">
        <v>77</v>
      </c>
      <c r="D18" s="2">
        <v>74</v>
      </c>
      <c r="E18" s="2">
        <v>79</v>
      </c>
      <c r="F18" s="2">
        <v>80</v>
      </c>
      <c r="G18" s="2">
        <v>78</v>
      </c>
      <c r="H18" s="4">
        <f t="shared" si="0"/>
        <v>388</v>
      </c>
      <c r="I18" s="4">
        <f t="shared" si="1"/>
        <v>77.600000000000009</v>
      </c>
      <c r="J18" s="4" t="str">
        <f t="shared" si="2"/>
        <v>B+</v>
      </c>
      <c r="K18" s="4" t="str">
        <f t="shared" si="3"/>
        <v>Pass</v>
      </c>
    </row>
    <row r="19" spans="1:11" x14ac:dyDescent="0.3">
      <c r="A19" s="2" t="s">
        <v>41</v>
      </c>
      <c r="B19" s="2" t="s">
        <v>42</v>
      </c>
      <c r="C19" s="2">
        <v>66</v>
      </c>
      <c r="D19" s="2">
        <v>70</v>
      </c>
      <c r="E19" s="2">
        <v>72</v>
      </c>
      <c r="F19" s="2">
        <v>68</v>
      </c>
      <c r="G19" s="2">
        <v>65</v>
      </c>
      <c r="H19" s="4">
        <f t="shared" si="0"/>
        <v>341</v>
      </c>
      <c r="I19" s="4">
        <f t="shared" si="1"/>
        <v>68.2</v>
      </c>
      <c r="J19" s="4" t="str">
        <f t="shared" si="2"/>
        <v>B</v>
      </c>
      <c r="K19" s="4" t="str">
        <f t="shared" si="3"/>
        <v>Pass</v>
      </c>
    </row>
    <row r="20" spans="1:11" x14ac:dyDescent="0.3">
      <c r="A20" s="2" t="s">
        <v>43</v>
      </c>
      <c r="B20" s="2" t="s">
        <v>44</v>
      </c>
      <c r="C20" s="2">
        <v>85</v>
      </c>
      <c r="D20" s="2">
        <v>88</v>
      </c>
      <c r="E20" s="2">
        <v>82</v>
      </c>
      <c r="F20" s="2">
        <v>87</v>
      </c>
      <c r="G20" s="2">
        <v>86</v>
      </c>
      <c r="H20" s="4">
        <f t="shared" si="0"/>
        <v>428</v>
      </c>
      <c r="I20" s="4">
        <f t="shared" si="1"/>
        <v>85.6</v>
      </c>
      <c r="J20" s="4" t="str">
        <f t="shared" si="2"/>
        <v>A</v>
      </c>
      <c r="K20" s="4" t="str">
        <f t="shared" si="3"/>
        <v>Pass</v>
      </c>
    </row>
    <row r="21" spans="1:11" x14ac:dyDescent="0.3">
      <c r="A21" s="2" t="s">
        <v>45</v>
      </c>
      <c r="B21" s="2" t="s">
        <v>46</v>
      </c>
      <c r="C21" s="2">
        <v>63</v>
      </c>
      <c r="D21" s="2">
        <v>67</v>
      </c>
      <c r="E21" s="2">
        <v>61</v>
      </c>
      <c r="F21" s="2">
        <v>64</v>
      </c>
      <c r="G21" s="2">
        <v>60</v>
      </c>
      <c r="H21" s="4">
        <f t="shared" si="0"/>
        <v>315</v>
      </c>
      <c r="I21" s="4">
        <f t="shared" si="1"/>
        <v>63</v>
      </c>
      <c r="J21" s="4" t="str">
        <f t="shared" si="2"/>
        <v>B</v>
      </c>
      <c r="K21" s="4" t="str">
        <f t="shared" si="3"/>
        <v>Pass</v>
      </c>
    </row>
    <row r="22" spans="1:11" x14ac:dyDescent="0.3">
      <c r="A22" s="2" t="s">
        <v>47</v>
      </c>
      <c r="B22" s="2" t="s">
        <v>48</v>
      </c>
      <c r="C22" s="2">
        <v>90</v>
      </c>
      <c r="D22" s="2">
        <v>89</v>
      </c>
      <c r="E22" s="2">
        <v>93</v>
      </c>
      <c r="F22" s="2">
        <v>91</v>
      </c>
      <c r="G22" s="2">
        <v>92</v>
      </c>
      <c r="H22" s="4">
        <f t="shared" si="0"/>
        <v>455</v>
      </c>
      <c r="I22" s="4">
        <f t="shared" si="1"/>
        <v>91</v>
      </c>
      <c r="J22" s="4" t="str">
        <f t="shared" si="2"/>
        <v>A+</v>
      </c>
      <c r="K22" s="4" t="str">
        <f t="shared" si="3"/>
        <v>Pass</v>
      </c>
    </row>
    <row r="23" spans="1:11" x14ac:dyDescent="0.3">
      <c r="A23" s="2" t="s">
        <v>49</v>
      </c>
      <c r="B23" s="2" t="s">
        <v>50</v>
      </c>
      <c r="C23" s="2">
        <v>75</v>
      </c>
      <c r="D23" s="2">
        <v>77</v>
      </c>
      <c r="E23" s="2">
        <v>73</v>
      </c>
      <c r="F23" s="2">
        <v>78</v>
      </c>
      <c r="G23" s="2">
        <v>76</v>
      </c>
      <c r="H23" s="4">
        <f t="shared" si="0"/>
        <v>379</v>
      </c>
      <c r="I23" s="4">
        <f t="shared" si="1"/>
        <v>75.8</v>
      </c>
      <c r="J23" s="4" t="str">
        <f t="shared" si="2"/>
        <v>B+</v>
      </c>
      <c r="K23" s="4" t="str">
        <f t="shared" si="3"/>
        <v>Pass</v>
      </c>
    </row>
    <row r="24" spans="1:11" x14ac:dyDescent="0.3">
      <c r="A24" s="2" t="s">
        <v>51</v>
      </c>
      <c r="B24" s="2" t="s">
        <v>52</v>
      </c>
      <c r="C24" s="2">
        <v>87</v>
      </c>
      <c r="D24" s="2">
        <v>84</v>
      </c>
      <c r="E24" s="2">
        <v>85</v>
      </c>
      <c r="F24" s="2">
        <v>83</v>
      </c>
      <c r="G24" s="2">
        <v>88</v>
      </c>
      <c r="H24" s="4">
        <f t="shared" si="0"/>
        <v>427</v>
      </c>
      <c r="I24" s="4">
        <f t="shared" si="1"/>
        <v>85.399999999999991</v>
      </c>
      <c r="J24" s="4" t="str">
        <f t="shared" si="2"/>
        <v>A</v>
      </c>
      <c r="K24" s="4" t="str">
        <f t="shared" si="3"/>
        <v>Pass</v>
      </c>
    </row>
    <row r="25" spans="1:11" x14ac:dyDescent="0.3">
      <c r="A25" s="2" t="s">
        <v>53</v>
      </c>
      <c r="B25" s="2" t="s">
        <v>54</v>
      </c>
      <c r="C25" s="2">
        <v>70</v>
      </c>
      <c r="D25" s="2">
        <v>65</v>
      </c>
      <c r="E25" s="2">
        <v>68</v>
      </c>
      <c r="F25" s="2">
        <v>66</v>
      </c>
      <c r="G25" s="2">
        <v>69</v>
      </c>
      <c r="H25" s="4">
        <f t="shared" si="0"/>
        <v>338</v>
      </c>
      <c r="I25" s="4">
        <f t="shared" si="1"/>
        <v>67.600000000000009</v>
      </c>
      <c r="J25" s="4" t="str">
        <f t="shared" si="2"/>
        <v>B</v>
      </c>
      <c r="K25" s="4" t="str">
        <f t="shared" si="3"/>
        <v>Pass</v>
      </c>
    </row>
    <row r="26" spans="1:11" x14ac:dyDescent="0.3">
      <c r="A26" s="2" t="s">
        <v>55</v>
      </c>
      <c r="B26" s="2" t="s">
        <v>56</v>
      </c>
      <c r="C26" s="2">
        <v>95</v>
      </c>
      <c r="D26" s="2">
        <v>96</v>
      </c>
      <c r="E26" s="2">
        <v>94</v>
      </c>
      <c r="F26" s="2">
        <v>98</v>
      </c>
      <c r="G26" s="2">
        <v>97</v>
      </c>
      <c r="H26" s="4">
        <f t="shared" si="0"/>
        <v>480</v>
      </c>
      <c r="I26" s="4">
        <f t="shared" si="1"/>
        <v>96</v>
      </c>
      <c r="J26" s="4" t="str">
        <f t="shared" si="2"/>
        <v>A+</v>
      </c>
      <c r="K26" s="4" t="str">
        <f t="shared" si="3"/>
        <v>Pass</v>
      </c>
    </row>
    <row r="27" spans="1:11" x14ac:dyDescent="0.3">
      <c r="A27" s="2" t="s">
        <v>57</v>
      </c>
      <c r="B27" s="2" t="s">
        <v>58</v>
      </c>
      <c r="C27" s="2">
        <v>74</v>
      </c>
      <c r="D27" s="2">
        <v>71</v>
      </c>
      <c r="E27" s="2">
        <v>72</v>
      </c>
      <c r="F27" s="2">
        <v>73</v>
      </c>
      <c r="G27" s="2">
        <v>75</v>
      </c>
      <c r="H27" s="4">
        <f t="shared" si="0"/>
        <v>365</v>
      </c>
      <c r="I27" s="4">
        <f t="shared" si="1"/>
        <v>73</v>
      </c>
      <c r="J27" s="4" t="str">
        <f t="shared" si="2"/>
        <v>B+</v>
      </c>
      <c r="K27" s="4" t="str">
        <f t="shared" si="3"/>
        <v>Pass</v>
      </c>
    </row>
    <row r="28" spans="1:11" x14ac:dyDescent="0.3">
      <c r="A28" s="2" t="s">
        <v>59</v>
      </c>
      <c r="B28" s="2" t="s">
        <v>60</v>
      </c>
      <c r="C28" s="2">
        <v>68</v>
      </c>
      <c r="D28" s="2">
        <v>70</v>
      </c>
      <c r="E28" s="2">
        <v>66</v>
      </c>
      <c r="F28" s="2">
        <v>69</v>
      </c>
      <c r="G28" s="2">
        <v>67</v>
      </c>
      <c r="H28" s="4">
        <f t="shared" si="0"/>
        <v>340</v>
      </c>
      <c r="I28" s="4">
        <f t="shared" si="1"/>
        <v>68</v>
      </c>
      <c r="J28" s="4" t="str">
        <f t="shared" si="2"/>
        <v>B</v>
      </c>
      <c r="K28" s="4" t="str">
        <f t="shared" si="3"/>
        <v>Pass</v>
      </c>
    </row>
    <row r="29" spans="1:11" x14ac:dyDescent="0.3">
      <c r="A29" s="2" t="s">
        <v>61</v>
      </c>
      <c r="B29" s="2" t="s">
        <v>62</v>
      </c>
      <c r="C29" s="2">
        <v>82</v>
      </c>
      <c r="D29" s="2">
        <v>86</v>
      </c>
      <c r="E29" s="2">
        <v>83</v>
      </c>
      <c r="F29" s="2">
        <v>85</v>
      </c>
      <c r="G29" s="2">
        <v>84</v>
      </c>
      <c r="H29" s="4">
        <f t="shared" si="0"/>
        <v>420</v>
      </c>
      <c r="I29" s="4">
        <f t="shared" si="1"/>
        <v>84</v>
      </c>
      <c r="J29" s="4" t="str">
        <f t="shared" si="2"/>
        <v>A</v>
      </c>
      <c r="K29" s="4" t="str">
        <f t="shared" si="3"/>
        <v>Pass</v>
      </c>
    </row>
    <row r="30" spans="1:11" x14ac:dyDescent="0.3">
      <c r="A30" s="2" t="s">
        <v>63</v>
      </c>
      <c r="B30" s="2" t="s">
        <v>64</v>
      </c>
      <c r="C30" s="2">
        <v>78</v>
      </c>
      <c r="D30" s="2">
        <v>80</v>
      </c>
      <c r="E30" s="2">
        <v>76</v>
      </c>
      <c r="F30" s="2">
        <v>79</v>
      </c>
      <c r="G30" s="2">
        <v>77</v>
      </c>
      <c r="H30" s="4">
        <f t="shared" si="0"/>
        <v>390</v>
      </c>
      <c r="I30" s="4">
        <f t="shared" si="1"/>
        <v>78</v>
      </c>
      <c r="J30" s="4" t="str">
        <f t="shared" si="2"/>
        <v>B+</v>
      </c>
      <c r="K30" s="4" t="str">
        <f t="shared" si="3"/>
        <v>Pass</v>
      </c>
    </row>
    <row r="31" spans="1:11" x14ac:dyDescent="0.3">
      <c r="A31" s="2" t="s">
        <v>65</v>
      </c>
      <c r="B31" s="2" t="s">
        <v>66</v>
      </c>
      <c r="C31" s="2">
        <v>65</v>
      </c>
      <c r="D31" s="2">
        <v>61</v>
      </c>
      <c r="E31" s="2">
        <v>63</v>
      </c>
      <c r="F31" s="2">
        <v>66</v>
      </c>
      <c r="G31" s="2">
        <v>64</v>
      </c>
      <c r="H31" s="4">
        <f t="shared" si="0"/>
        <v>319</v>
      </c>
      <c r="I31" s="4">
        <f t="shared" si="1"/>
        <v>63.800000000000004</v>
      </c>
      <c r="J31" s="4" t="str">
        <f t="shared" si="2"/>
        <v>B</v>
      </c>
      <c r="K31" s="4" t="str">
        <f t="shared" si="3"/>
        <v>Pass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E80D-C50F-43FD-9FD6-7BC0321C7242}">
  <dimension ref="A1:K36"/>
  <sheetViews>
    <sheetView workbookViewId="0">
      <selection activeCell="O18" sqref="O18"/>
    </sheetView>
  </sheetViews>
  <sheetFormatPr defaultRowHeight="14.4" x14ac:dyDescent="0.3"/>
  <cols>
    <col min="1" max="1" width="7" bestFit="1" customWidth="1"/>
    <col min="2" max="2" width="15.33203125" bestFit="1" customWidth="1"/>
    <col min="3" max="3" width="6.88671875" bestFit="1" customWidth="1"/>
    <col min="4" max="4" width="6.33203125" bestFit="1" customWidth="1"/>
    <col min="5" max="5" width="7.33203125" bestFit="1" customWidth="1"/>
    <col min="6" max="6" width="9.44140625" bestFit="1" customWidth="1"/>
    <col min="7" max="7" width="5.88671875" bestFit="1" customWidth="1"/>
    <col min="8" max="8" width="10.88671875" bestFit="1" customWidth="1"/>
    <col min="9" max="9" width="10.44140625" bestFit="1" customWidth="1"/>
    <col min="10" max="10" width="6" bestFit="1" customWidth="1"/>
    <col min="11" max="11" width="6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193</v>
      </c>
      <c r="I1" s="3" t="s">
        <v>194</v>
      </c>
      <c r="J1" s="3" t="s">
        <v>195</v>
      </c>
      <c r="K1" s="3" t="s">
        <v>196</v>
      </c>
    </row>
    <row r="2" spans="1:11" x14ac:dyDescent="0.3">
      <c r="A2" s="2" t="s">
        <v>67</v>
      </c>
      <c r="B2" s="2" t="s">
        <v>68</v>
      </c>
      <c r="C2" s="2">
        <v>81</v>
      </c>
      <c r="D2" s="2">
        <v>84</v>
      </c>
      <c r="E2" s="2">
        <v>79</v>
      </c>
      <c r="F2" s="2">
        <v>83</v>
      </c>
      <c r="G2" s="2">
        <v>80</v>
      </c>
      <c r="H2" s="4">
        <f>SUM(C2:G2)</f>
        <v>407</v>
      </c>
      <c r="I2" s="4">
        <f>H2/500*100</f>
        <v>81.399999999999991</v>
      </c>
      <c r="J2" s="4" t="str">
        <f>IF(I2&gt;=90,"A+",IF(I2&gt;=80,"A",IF(I2&gt;=70,"B+",IF(I2&gt;=60,"B",IF(AND(I2&gt;=35,I2&lt;60),"C","Fail")))))</f>
        <v>A</v>
      </c>
      <c r="K2" s="4" t="str">
        <f>IF(I2&gt;=35,"Pass","Fail")</f>
        <v>Pass</v>
      </c>
    </row>
    <row r="3" spans="1:11" x14ac:dyDescent="0.3">
      <c r="A3" s="2" t="s">
        <v>69</v>
      </c>
      <c r="B3" s="2" t="s">
        <v>70</v>
      </c>
      <c r="C3" s="2">
        <v>74</v>
      </c>
      <c r="D3" s="2">
        <v>77</v>
      </c>
      <c r="E3" s="2">
        <v>72</v>
      </c>
      <c r="F3" s="2">
        <v>76</v>
      </c>
      <c r="G3" s="2">
        <v>75</v>
      </c>
      <c r="H3" s="4">
        <f t="shared" ref="H3:H36" si="0">SUM(C3:G3)</f>
        <v>374</v>
      </c>
      <c r="I3" s="4">
        <f t="shared" ref="I3:I36" si="1">H3/500*100</f>
        <v>74.8</v>
      </c>
      <c r="J3" s="4" t="str">
        <f t="shared" ref="J3:J36" si="2">IF(I3&gt;=90,"A+",IF(I3&gt;=80,"A",IF(I3&gt;=70,"B+",IF(I3&gt;=60,"B",IF(AND(I3&gt;=35,I3&lt;60),"C","Fail")))))</f>
        <v>B+</v>
      </c>
      <c r="K3" s="4" t="str">
        <f t="shared" ref="K3:K36" si="3">IF(I3&gt;=35,"Pass","Fail")</f>
        <v>Pass</v>
      </c>
    </row>
    <row r="4" spans="1:11" x14ac:dyDescent="0.3">
      <c r="A4" s="2" t="s">
        <v>71</v>
      </c>
      <c r="B4" s="2" t="s">
        <v>72</v>
      </c>
      <c r="C4" s="2">
        <v>68</v>
      </c>
      <c r="D4" s="2">
        <v>64</v>
      </c>
      <c r="E4" s="2">
        <v>70</v>
      </c>
      <c r="F4" s="2">
        <v>66</v>
      </c>
      <c r="G4" s="2">
        <v>69</v>
      </c>
      <c r="H4" s="4">
        <f t="shared" si="0"/>
        <v>337</v>
      </c>
      <c r="I4" s="4">
        <f t="shared" si="1"/>
        <v>67.400000000000006</v>
      </c>
      <c r="J4" s="4" t="str">
        <f t="shared" si="2"/>
        <v>B</v>
      </c>
      <c r="K4" s="4" t="str">
        <f t="shared" si="3"/>
        <v>Pass</v>
      </c>
    </row>
    <row r="5" spans="1:11" x14ac:dyDescent="0.3">
      <c r="A5" s="2" t="s">
        <v>73</v>
      </c>
      <c r="B5" s="2" t="s">
        <v>74</v>
      </c>
      <c r="C5" s="2">
        <v>90</v>
      </c>
      <c r="D5" s="2">
        <v>93</v>
      </c>
      <c r="E5" s="2">
        <v>91</v>
      </c>
      <c r="F5" s="2">
        <v>95</v>
      </c>
      <c r="G5" s="2">
        <v>92</v>
      </c>
      <c r="H5" s="4">
        <f t="shared" si="0"/>
        <v>461</v>
      </c>
      <c r="I5" s="4">
        <f t="shared" si="1"/>
        <v>92.2</v>
      </c>
      <c r="J5" s="4" t="str">
        <f t="shared" si="2"/>
        <v>A+</v>
      </c>
      <c r="K5" s="4" t="str">
        <f t="shared" si="3"/>
        <v>Pass</v>
      </c>
    </row>
    <row r="6" spans="1:11" x14ac:dyDescent="0.3">
      <c r="A6" s="2" t="s">
        <v>75</v>
      </c>
      <c r="B6" s="2" t="s">
        <v>76</v>
      </c>
      <c r="C6" s="2">
        <v>58</v>
      </c>
      <c r="D6" s="2">
        <v>60</v>
      </c>
      <c r="E6" s="2">
        <v>62</v>
      </c>
      <c r="F6" s="2">
        <v>59</v>
      </c>
      <c r="G6" s="2">
        <v>61</v>
      </c>
      <c r="H6" s="4">
        <f t="shared" si="0"/>
        <v>300</v>
      </c>
      <c r="I6" s="4">
        <f t="shared" si="1"/>
        <v>60</v>
      </c>
      <c r="J6" s="4" t="str">
        <f t="shared" si="2"/>
        <v>B</v>
      </c>
      <c r="K6" s="4" t="str">
        <f t="shared" si="3"/>
        <v>Pass</v>
      </c>
    </row>
    <row r="7" spans="1:11" x14ac:dyDescent="0.3">
      <c r="A7" s="2" t="s">
        <v>77</v>
      </c>
      <c r="B7" s="2" t="s">
        <v>78</v>
      </c>
      <c r="C7" s="2">
        <v>82</v>
      </c>
      <c r="D7" s="2">
        <v>85</v>
      </c>
      <c r="E7" s="2">
        <v>84</v>
      </c>
      <c r="F7" s="2">
        <v>86</v>
      </c>
      <c r="G7" s="2">
        <v>83</v>
      </c>
      <c r="H7" s="4">
        <f t="shared" si="0"/>
        <v>420</v>
      </c>
      <c r="I7" s="4">
        <f t="shared" si="1"/>
        <v>84</v>
      </c>
      <c r="J7" s="4" t="str">
        <f t="shared" si="2"/>
        <v>A</v>
      </c>
      <c r="K7" s="4" t="str">
        <f t="shared" si="3"/>
        <v>Pass</v>
      </c>
    </row>
    <row r="8" spans="1:11" x14ac:dyDescent="0.3">
      <c r="A8" s="2" t="s">
        <v>79</v>
      </c>
      <c r="B8" s="2" t="s">
        <v>80</v>
      </c>
      <c r="C8" s="2">
        <v>75</v>
      </c>
      <c r="D8" s="2">
        <v>78</v>
      </c>
      <c r="E8" s="2">
        <v>79</v>
      </c>
      <c r="F8" s="2">
        <v>80</v>
      </c>
      <c r="G8" s="2">
        <v>77</v>
      </c>
      <c r="H8" s="4">
        <f t="shared" si="0"/>
        <v>389</v>
      </c>
      <c r="I8" s="4">
        <f t="shared" si="1"/>
        <v>77.8</v>
      </c>
      <c r="J8" s="4" t="str">
        <f t="shared" si="2"/>
        <v>B+</v>
      </c>
      <c r="K8" s="4" t="str">
        <f t="shared" si="3"/>
        <v>Pass</v>
      </c>
    </row>
    <row r="9" spans="1:11" x14ac:dyDescent="0.3">
      <c r="A9" s="2" t="s">
        <v>81</v>
      </c>
      <c r="B9" s="2" t="s">
        <v>82</v>
      </c>
      <c r="C9" s="2">
        <v>88</v>
      </c>
      <c r="D9" s="2">
        <v>90</v>
      </c>
      <c r="E9" s="2">
        <v>92</v>
      </c>
      <c r="F9" s="2">
        <v>91</v>
      </c>
      <c r="G9" s="2">
        <v>89</v>
      </c>
      <c r="H9" s="4">
        <f t="shared" si="0"/>
        <v>450</v>
      </c>
      <c r="I9" s="4">
        <f t="shared" si="1"/>
        <v>90</v>
      </c>
      <c r="J9" s="4" t="str">
        <f t="shared" si="2"/>
        <v>A+</v>
      </c>
      <c r="K9" s="4" t="str">
        <f t="shared" si="3"/>
        <v>Pass</v>
      </c>
    </row>
    <row r="10" spans="1:11" x14ac:dyDescent="0.3">
      <c r="A10" s="2" t="s">
        <v>83</v>
      </c>
      <c r="B10" s="2" t="s">
        <v>84</v>
      </c>
      <c r="C10" s="2">
        <v>64</v>
      </c>
      <c r="D10" s="2">
        <v>68</v>
      </c>
      <c r="E10" s="2">
        <v>65</v>
      </c>
      <c r="F10" s="2">
        <v>69</v>
      </c>
      <c r="G10" s="2">
        <v>63</v>
      </c>
      <c r="H10" s="4">
        <f t="shared" si="0"/>
        <v>329</v>
      </c>
      <c r="I10" s="4">
        <f t="shared" si="1"/>
        <v>65.8</v>
      </c>
      <c r="J10" s="4" t="str">
        <f t="shared" si="2"/>
        <v>B</v>
      </c>
      <c r="K10" s="4" t="str">
        <f t="shared" si="3"/>
        <v>Pass</v>
      </c>
    </row>
    <row r="11" spans="1:11" x14ac:dyDescent="0.3">
      <c r="A11" s="2" t="s">
        <v>85</v>
      </c>
      <c r="B11" s="2" t="s">
        <v>86</v>
      </c>
      <c r="C11" s="2">
        <v>85</v>
      </c>
      <c r="D11" s="2">
        <v>83</v>
      </c>
      <c r="E11" s="2">
        <v>87</v>
      </c>
      <c r="F11" s="2">
        <v>84</v>
      </c>
      <c r="G11" s="2">
        <v>88</v>
      </c>
      <c r="H11" s="4">
        <f t="shared" si="0"/>
        <v>427</v>
      </c>
      <c r="I11" s="4">
        <f t="shared" si="1"/>
        <v>85.399999999999991</v>
      </c>
      <c r="J11" s="4" t="str">
        <f t="shared" si="2"/>
        <v>A</v>
      </c>
      <c r="K11" s="4" t="str">
        <f t="shared" si="3"/>
        <v>Pass</v>
      </c>
    </row>
    <row r="12" spans="1:11" x14ac:dyDescent="0.3">
      <c r="A12" s="2" t="s">
        <v>87</v>
      </c>
      <c r="B12" s="2" t="s">
        <v>88</v>
      </c>
      <c r="C12" s="2">
        <v>70</v>
      </c>
      <c r="D12" s="2">
        <v>74</v>
      </c>
      <c r="E12" s="2">
        <v>69</v>
      </c>
      <c r="F12" s="2">
        <v>71</v>
      </c>
      <c r="G12" s="2">
        <v>72</v>
      </c>
      <c r="H12" s="4">
        <f t="shared" si="0"/>
        <v>356</v>
      </c>
      <c r="I12" s="4">
        <f t="shared" si="1"/>
        <v>71.2</v>
      </c>
      <c r="J12" s="4" t="str">
        <f t="shared" si="2"/>
        <v>B+</v>
      </c>
      <c r="K12" s="4" t="str">
        <f t="shared" si="3"/>
        <v>Pass</v>
      </c>
    </row>
    <row r="13" spans="1:11" x14ac:dyDescent="0.3">
      <c r="A13" s="2" t="s">
        <v>89</v>
      </c>
      <c r="B13" s="2" t="s">
        <v>90</v>
      </c>
      <c r="C13" s="2">
        <v>77</v>
      </c>
      <c r="D13" s="2">
        <v>81</v>
      </c>
      <c r="E13" s="2">
        <v>79</v>
      </c>
      <c r="F13" s="2">
        <v>78</v>
      </c>
      <c r="G13" s="2">
        <v>80</v>
      </c>
      <c r="H13" s="4">
        <f t="shared" si="0"/>
        <v>395</v>
      </c>
      <c r="I13" s="4">
        <f t="shared" si="1"/>
        <v>79</v>
      </c>
      <c r="J13" s="4" t="str">
        <f t="shared" si="2"/>
        <v>B+</v>
      </c>
      <c r="K13" s="4" t="str">
        <f t="shared" si="3"/>
        <v>Pass</v>
      </c>
    </row>
    <row r="14" spans="1:11" x14ac:dyDescent="0.3">
      <c r="A14" s="2" t="s">
        <v>91</v>
      </c>
      <c r="B14" s="2" t="s">
        <v>92</v>
      </c>
      <c r="C14" s="2">
        <v>60</v>
      </c>
      <c r="D14" s="2">
        <v>65</v>
      </c>
      <c r="E14" s="2">
        <v>64</v>
      </c>
      <c r="F14" s="2">
        <v>63</v>
      </c>
      <c r="G14" s="2">
        <v>62</v>
      </c>
      <c r="H14" s="4">
        <f t="shared" si="0"/>
        <v>314</v>
      </c>
      <c r="I14" s="4">
        <f t="shared" si="1"/>
        <v>62.8</v>
      </c>
      <c r="J14" s="4" t="str">
        <f t="shared" si="2"/>
        <v>B</v>
      </c>
      <c r="K14" s="4" t="str">
        <f t="shared" si="3"/>
        <v>Pass</v>
      </c>
    </row>
    <row r="15" spans="1:11" x14ac:dyDescent="0.3">
      <c r="A15" s="2" t="s">
        <v>93</v>
      </c>
      <c r="B15" s="2" t="s">
        <v>94</v>
      </c>
      <c r="C15" s="2">
        <v>92</v>
      </c>
      <c r="D15" s="2">
        <v>94</v>
      </c>
      <c r="E15" s="2">
        <v>95</v>
      </c>
      <c r="F15" s="2">
        <v>93</v>
      </c>
      <c r="G15" s="2">
        <v>90</v>
      </c>
      <c r="H15" s="4">
        <f t="shared" si="0"/>
        <v>464</v>
      </c>
      <c r="I15" s="4">
        <f t="shared" si="1"/>
        <v>92.800000000000011</v>
      </c>
      <c r="J15" s="4" t="str">
        <f t="shared" si="2"/>
        <v>A+</v>
      </c>
      <c r="K15" s="4" t="str">
        <f t="shared" si="3"/>
        <v>Pass</v>
      </c>
    </row>
    <row r="16" spans="1:11" x14ac:dyDescent="0.3">
      <c r="A16" s="2" t="s">
        <v>95</v>
      </c>
      <c r="B16" s="2" t="s">
        <v>96</v>
      </c>
      <c r="C16" s="2">
        <v>73</v>
      </c>
      <c r="D16" s="2">
        <v>75</v>
      </c>
      <c r="E16" s="2">
        <v>70</v>
      </c>
      <c r="F16" s="2">
        <v>72</v>
      </c>
      <c r="G16" s="2">
        <v>74</v>
      </c>
      <c r="H16" s="4">
        <f t="shared" si="0"/>
        <v>364</v>
      </c>
      <c r="I16" s="4">
        <f t="shared" si="1"/>
        <v>72.8</v>
      </c>
      <c r="J16" s="4" t="str">
        <f t="shared" si="2"/>
        <v>B+</v>
      </c>
      <c r="K16" s="4" t="str">
        <f t="shared" si="3"/>
        <v>Pass</v>
      </c>
    </row>
    <row r="17" spans="1:11" x14ac:dyDescent="0.3">
      <c r="A17" s="2" t="s">
        <v>97</v>
      </c>
      <c r="B17" s="2" t="s">
        <v>98</v>
      </c>
      <c r="C17" s="2">
        <v>89</v>
      </c>
      <c r="D17" s="2">
        <v>91</v>
      </c>
      <c r="E17" s="2">
        <v>88</v>
      </c>
      <c r="F17" s="2">
        <v>90</v>
      </c>
      <c r="G17" s="2">
        <v>92</v>
      </c>
      <c r="H17" s="4">
        <f t="shared" si="0"/>
        <v>450</v>
      </c>
      <c r="I17" s="4">
        <f t="shared" si="1"/>
        <v>90</v>
      </c>
      <c r="J17" s="4" t="str">
        <f t="shared" si="2"/>
        <v>A+</v>
      </c>
      <c r="K17" s="4" t="str">
        <f t="shared" si="3"/>
        <v>Pass</v>
      </c>
    </row>
    <row r="18" spans="1:11" x14ac:dyDescent="0.3">
      <c r="A18" s="2" t="s">
        <v>99</v>
      </c>
      <c r="B18" s="2" t="s">
        <v>100</v>
      </c>
      <c r="C18" s="2">
        <v>66</v>
      </c>
      <c r="D18" s="2">
        <v>70</v>
      </c>
      <c r="E18" s="2">
        <v>67</v>
      </c>
      <c r="F18" s="2">
        <v>65</v>
      </c>
      <c r="G18" s="2">
        <v>68</v>
      </c>
      <c r="H18" s="4">
        <f t="shared" si="0"/>
        <v>336</v>
      </c>
      <c r="I18" s="4">
        <f t="shared" si="1"/>
        <v>67.2</v>
      </c>
      <c r="J18" s="4" t="str">
        <f t="shared" si="2"/>
        <v>B</v>
      </c>
      <c r="K18" s="4" t="str">
        <f t="shared" si="3"/>
        <v>Pass</v>
      </c>
    </row>
    <row r="19" spans="1:11" x14ac:dyDescent="0.3">
      <c r="A19" s="2" t="s">
        <v>101</v>
      </c>
      <c r="B19" s="2" t="s">
        <v>102</v>
      </c>
      <c r="C19" s="2">
        <v>80</v>
      </c>
      <c r="D19" s="2">
        <v>82</v>
      </c>
      <c r="E19" s="2">
        <v>81</v>
      </c>
      <c r="F19" s="2">
        <v>83</v>
      </c>
      <c r="G19" s="2">
        <v>84</v>
      </c>
      <c r="H19" s="4">
        <f t="shared" si="0"/>
        <v>410</v>
      </c>
      <c r="I19" s="4">
        <f t="shared" si="1"/>
        <v>82</v>
      </c>
      <c r="J19" s="4" t="str">
        <f t="shared" si="2"/>
        <v>A</v>
      </c>
      <c r="K19" s="4" t="str">
        <f t="shared" si="3"/>
        <v>Pass</v>
      </c>
    </row>
    <row r="20" spans="1:11" x14ac:dyDescent="0.3">
      <c r="A20" s="2" t="s">
        <v>103</v>
      </c>
      <c r="B20" s="2" t="s">
        <v>104</v>
      </c>
      <c r="C20" s="2">
        <v>63</v>
      </c>
      <c r="D20" s="2">
        <v>60</v>
      </c>
      <c r="E20" s="2">
        <v>66</v>
      </c>
      <c r="F20" s="2">
        <v>64</v>
      </c>
      <c r="G20" s="2">
        <v>65</v>
      </c>
      <c r="H20" s="4">
        <f t="shared" si="0"/>
        <v>318</v>
      </c>
      <c r="I20" s="4">
        <f t="shared" si="1"/>
        <v>63.6</v>
      </c>
      <c r="J20" s="4" t="str">
        <f t="shared" si="2"/>
        <v>B</v>
      </c>
      <c r="K20" s="4" t="str">
        <f t="shared" si="3"/>
        <v>Pass</v>
      </c>
    </row>
    <row r="21" spans="1:11" x14ac:dyDescent="0.3">
      <c r="A21" s="2" t="s">
        <v>105</v>
      </c>
      <c r="B21" s="2" t="s">
        <v>106</v>
      </c>
      <c r="C21" s="2">
        <v>78</v>
      </c>
      <c r="D21" s="2">
        <v>81</v>
      </c>
      <c r="E21" s="2">
        <v>76</v>
      </c>
      <c r="F21" s="2">
        <v>79</v>
      </c>
      <c r="G21" s="2">
        <v>77</v>
      </c>
      <c r="H21" s="4">
        <f t="shared" si="0"/>
        <v>391</v>
      </c>
      <c r="I21" s="4">
        <f t="shared" si="1"/>
        <v>78.2</v>
      </c>
      <c r="J21" s="4" t="str">
        <f t="shared" si="2"/>
        <v>B+</v>
      </c>
      <c r="K21" s="4" t="str">
        <f t="shared" si="3"/>
        <v>Pass</v>
      </c>
    </row>
    <row r="22" spans="1:11" x14ac:dyDescent="0.3">
      <c r="A22" s="2" t="s">
        <v>107</v>
      </c>
      <c r="B22" s="2" t="s">
        <v>108</v>
      </c>
      <c r="C22" s="2">
        <v>88</v>
      </c>
      <c r="D22" s="2">
        <v>85</v>
      </c>
      <c r="E22" s="2">
        <v>84</v>
      </c>
      <c r="F22" s="2">
        <v>86</v>
      </c>
      <c r="G22" s="2">
        <v>87</v>
      </c>
      <c r="H22" s="4">
        <f t="shared" si="0"/>
        <v>430</v>
      </c>
      <c r="I22" s="4">
        <f t="shared" si="1"/>
        <v>86</v>
      </c>
      <c r="J22" s="4" t="str">
        <f t="shared" si="2"/>
        <v>A</v>
      </c>
      <c r="K22" s="4" t="str">
        <f t="shared" si="3"/>
        <v>Pass</v>
      </c>
    </row>
    <row r="23" spans="1:11" x14ac:dyDescent="0.3">
      <c r="A23" s="2" t="s">
        <v>109</v>
      </c>
      <c r="B23" s="2" t="s">
        <v>110</v>
      </c>
      <c r="C23" s="2">
        <v>55</v>
      </c>
      <c r="D23" s="2">
        <v>58</v>
      </c>
      <c r="E23" s="2">
        <v>60</v>
      </c>
      <c r="F23" s="2">
        <v>57</v>
      </c>
      <c r="G23" s="2">
        <v>56</v>
      </c>
      <c r="H23" s="4">
        <f t="shared" si="0"/>
        <v>286</v>
      </c>
      <c r="I23" s="4">
        <f t="shared" si="1"/>
        <v>57.199999999999996</v>
      </c>
      <c r="J23" s="4" t="str">
        <f t="shared" si="2"/>
        <v>C</v>
      </c>
      <c r="K23" s="4" t="str">
        <f t="shared" si="3"/>
        <v>Pass</v>
      </c>
    </row>
    <row r="24" spans="1:11" x14ac:dyDescent="0.3">
      <c r="A24" s="2" t="s">
        <v>111</v>
      </c>
      <c r="B24" s="2" t="s">
        <v>112</v>
      </c>
      <c r="C24" s="2">
        <v>91</v>
      </c>
      <c r="D24" s="2">
        <v>94</v>
      </c>
      <c r="E24" s="2">
        <v>93</v>
      </c>
      <c r="F24" s="2">
        <v>95</v>
      </c>
      <c r="G24" s="2">
        <v>92</v>
      </c>
      <c r="H24" s="4">
        <f t="shared" si="0"/>
        <v>465</v>
      </c>
      <c r="I24" s="4">
        <f t="shared" si="1"/>
        <v>93</v>
      </c>
      <c r="J24" s="4" t="str">
        <f t="shared" si="2"/>
        <v>A+</v>
      </c>
      <c r="K24" s="4" t="str">
        <f t="shared" si="3"/>
        <v>Pass</v>
      </c>
    </row>
    <row r="25" spans="1:11" x14ac:dyDescent="0.3">
      <c r="A25" s="2" t="s">
        <v>113</v>
      </c>
      <c r="B25" s="2" t="s">
        <v>114</v>
      </c>
      <c r="C25" s="2">
        <v>68</v>
      </c>
      <c r="D25" s="2">
        <v>70</v>
      </c>
      <c r="E25" s="2">
        <v>72</v>
      </c>
      <c r="F25" s="2">
        <v>69</v>
      </c>
      <c r="G25" s="2">
        <v>71</v>
      </c>
      <c r="H25" s="4">
        <f t="shared" si="0"/>
        <v>350</v>
      </c>
      <c r="I25" s="4">
        <f t="shared" si="1"/>
        <v>70</v>
      </c>
      <c r="J25" s="4" t="str">
        <f t="shared" si="2"/>
        <v>B+</v>
      </c>
      <c r="K25" s="4" t="str">
        <f t="shared" si="3"/>
        <v>Pass</v>
      </c>
    </row>
    <row r="26" spans="1:11" x14ac:dyDescent="0.3">
      <c r="A26" s="2" t="s">
        <v>115</v>
      </c>
      <c r="B26" s="2" t="s">
        <v>116</v>
      </c>
      <c r="C26" s="2">
        <v>84</v>
      </c>
      <c r="D26" s="2">
        <v>82</v>
      </c>
      <c r="E26" s="2">
        <v>83</v>
      </c>
      <c r="F26" s="2">
        <v>85</v>
      </c>
      <c r="G26" s="2">
        <v>80</v>
      </c>
      <c r="H26" s="4">
        <f t="shared" si="0"/>
        <v>414</v>
      </c>
      <c r="I26" s="4">
        <f t="shared" si="1"/>
        <v>82.8</v>
      </c>
      <c r="J26" s="4" t="str">
        <f t="shared" si="2"/>
        <v>A</v>
      </c>
      <c r="K26" s="4" t="str">
        <f t="shared" si="3"/>
        <v>Pass</v>
      </c>
    </row>
    <row r="27" spans="1:11" x14ac:dyDescent="0.3">
      <c r="A27" s="2" t="s">
        <v>117</v>
      </c>
      <c r="B27" s="2" t="s">
        <v>118</v>
      </c>
      <c r="C27" s="2">
        <v>90</v>
      </c>
      <c r="D27" s="2">
        <v>89</v>
      </c>
      <c r="E27" s="2">
        <v>91</v>
      </c>
      <c r="F27" s="2">
        <v>88</v>
      </c>
      <c r="G27" s="2">
        <v>87</v>
      </c>
      <c r="H27" s="4">
        <f t="shared" si="0"/>
        <v>445</v>
      </c>
      <c r="I27" s="4">
        <f t="shared" si="1"/>
        <v>89</v>
      </c>
      <c r="J27" s="4" t="str">
        <f t="shared" si="2"/>
        <v>A</v>
      </c>
      <c r="K27" s="4" t="str">
        <f t="shared" si="3"/>
        <v>Pass</v>
      </c>
    </row>
    <row r="28" spans="1:11" x14ac:dyDescent="0.3">
      <c r="A28" s="2" t="s">
        <v>119</v>
      </c>
      <c r="B28" s="2" t="s">
        <v>120</v>
      </c>
      <c r="C28" s="2">
        <v>76</v>
      </c>
      <c r="D28" s="2">
        <v>79</v>
      </c>
      <c r="E28" s="2">
        <v>75</v>
      </c>
      <c r="F28" s="2">
        <v>80</v>
      </c>
      <c r="G28" s="2">
        <v>77</v>
      </c>
      <c r="H28" s="4">
        <f t="shared" si="0"/>
        <v>387</v>
      </c>
      <c r="I28" s="4">
        <f t="shared" si="1"/>
        <v>77.400000000000006</v>
      </c>
      <c r="J28" s="4" t="str">
        <f t="shared" si="2"/>
        <v>B+</v>
      </c>
      <c r="K28" s="4" t="str">
        <f t="shared" si="3"/>
        <v>Pass</v>
      </c>
    </row>
    <row r="29" spans="1:11" x14ac:dyDescent="0.3">
      <c r="A29" s="2" t="s">
        <v>121</v>
      </c>
      <c r="B29" s="2" t="s">
        <v>122</v>
      </c>
      <c r="C29" s="2">
        <v>71</v>
      </c>
      <c r="D29" s="2">
        <v>74</v>
      </c>
      <c r="E29" s="2">
        <v>70</v>
      </c>
      <c r="F29" s="2">
        <v>72</v>
      </c>
      <c r="G29" s="2">
        <v>73</v>
      </c>
      <c r="H29" s="4">
        <f t="shared" si="0"/>
        <v>360</v>
      </c>
      <c r="I29" s="4">
        <f t="shared" si="1"/>
        <v>72</v>
      </c>
      <c r="J29" s="4" t="str">
        <f t="shared" si="2"/>
        <v>B+</v>
      </c>
      <c r="K29" s="4" t="str">
        <f t="shared" si="3"/>
        <v>Pass</v>
      </c>
    </row>
    <row r="30" spans="1:11" x14ac:dyDescent="0.3">
      <c r="A30" s="2" t="s">
        <v>123</v>
      </c>
      <c r="B30" s="2" t="s">
        <v>124</v>
      </c>
      <c r="C30" s="2">
        <v>87</v>
      </c>
      <c r="D30" s="2">
        <v>90</v>
      </c>
      <c r="E30" s="2">
        <v>88</v>
      </c>
      <c r="F30" s="2">
        <v>89</v>
      </c>
      <c r="G30" s="2">
        <v>91</v>
      </c>
      <c r="H30" s="4">
        <f t="shared" si="0"/>
        <v>445</v>
      </c>
      <c r="I30" s="4">
        <f t="shared" si="1"/>
        <v>89</v>
      </c>
      <c r="J30" s="4" t="str">
        <f t="shared" si="2"/>
        <v>A</v>
      </c>
      <c r="K30" s="4" t="str">
        <f t="shared" si="3"/>
        <v>Pass</v>
      </c>
    </row>
    <row r="31" spans="1:11" x14ac:dyDescent="0.3">
      <c r="A31" s="2" t="s">
        <v>125</v>
      </c>
      <c r="B31" s="2" t="s">
        <v>126</v>
      </c>
      <c r="C31" s="2">
        <v>59</v>
      </c>
      <c r="D31" s="2">
        <v>62</v>
      </c>
      <c r="E31" s="2">
        <v>60</v>
      </c>
      <c r="F31" s="2">
        <v>63</v>
      </c>
      <c r="G31" s="2">
        <v>61</v>
      </c>
      <c r="H31" s="4">
        <f t="shared" si="0"/>
        <v>305</v>
      </c>
      <c r="I31" s="4">
        <f t="shared" si="1"/>
        <v>61</v>
      </c>
      <c r="J31" s="4" t="str">
        <f t="shared" si="2"/>
        <v>B</v>
      </c>
      <c r="K31" s="4" t="str">
        <f t="shared" si="3"/>
        <v>Pass</v>
      </c>
    </row>
    <row r="32" spans="1:11" x14ac:dyDescent="0.3">
      <c r="A32" s="2" t="s">
        <v>127</v>
      </c>
      <c r="B32" s="2" t="s">
        <v>128</v>
      </c>
      <c r="C32" s="2">
        <v>83</v>
      </c>
      <c r="D32" s="2">
        <v>85</v>
      </c>
      <c r="E32" s="2">
        <v>82</v>
      </c>
      <c r="F32" s="2">
        <v>84</v>
      </c>
      <c r="G32" s="2">
        <v>86</v>
      </c>
      <c r="H32" s="4">
        <f t="shared" si="0"/>
        <v>420</v>
      </c>
      <c r="I32" s="4">
        <f t="shared" si="1"/>
        <v>84</v>
      </c>
      <c r="J32" s="4" t="str">
        <f t="shared" si="2"/>
        <v>A</v>
      </c>
      <c r="K32" s="4" t="str">
        <f t="shared" si="3"/>
        <v>Pass</v>
      </c>
    </row>
    <row r="33" spans="1:11" x14ac:dyDescent="0.3">
      <c r="A33" s="2" t="s">
        <v>129</v>
      </c>
      <c r="B33" s="2" t="s">
        <v>130</v>
      </c>
      <c r="C33" s="2">
        <v>79</v>
      </c>
      <c r="D33" s="2">
        <v>77</v>
      </c>
      <c r="E33" s="2">
        <v>80</v>
      </c>
      <c r="F33" s="2">
        <v>81</v>
      </c>
      <c r="G33" s="2">
        <v>78</v>
      </c>
      <c r="H33" s="4">
        <f t="shared" si="0"/>
        <v>395</v>
      </c>
      <c r="I33" s="4">
        <f t="shared" si="1"/>
        <v>79</v>
      </c>
      <c r="J33" s="4" t="str">
        <f t="shared" si="2"/>
        <v>B+</v>
      </c>
      <c r="K33" s="4" t="str">
        <f t="shared" si="3"/>
        <v>Pass</v>
      </c>
    </row>
    <row r="34" spans="1:11" x14ac:dyDescent="0.3">
      <c r="A34" s="2" t="s">
        <v>131</v>
      </c>
      <c r="B34" s="2" t="s">
        <v>132</v>
      </c>
      <c r="C34" s="2">
        <v>65</v>
      </c>
      <c r="D34" s="2">
        <v>68</v>
      </c>
      <c r="E34" s="2">
        <v>67</v>
      </c>
      <c r="F34" s="2">
        <v>70</v>
      </c>
      <c r="G34" s="2">
        <v>69</v>
      </c>
      <c r="H34" s="4">
        <f t="shared" si="0"/>
        <v>339</v>
      </c>
      <c r="I34" s="4">
        <f t="shared" si="1"/>
        <v>67.800000000000011</v>
      </c>
      <c r="J34" s="4" t="str">
        <f t="shared" si="2"/>
        <v>B</v>
      </c>
      <c r="K34" s="4" t="str">
        <f t="shared" si="3"/>
        <v>Pass</v>
      </c>
    </row>
    <row r="35" spans="1:11" x14ac:dyDescent="0.3">
      <c r="A35" s="2" t="s">
        <v>133</v>
      </c>
      <c r="B35" s="2" t="s">
        <v>134</v>
      </c>
      <c r="C35" s="2">
        <v>91</v>
      </c>
      <c r="D35" s="2">
        <v>93</v>
      </c>
      <c r="E35" s="2">
        <v>95</v>
      </c>
      <c r="F35" s="2">
        <v>94</v>
      </c>
      <c r="G35" s="2">
        <v>92</v>
      </c>
      <c r="H35" s="4">
        <f t="shared" si="0"/>
        <v>465</v>
      </c>
      <c r="I35" s="4">
        <f t="shared" si="1"/>
        <v>93</v>
      </c>
      <c r="J35" s="4" t="str">
        <f t="shared" si="2"/>
        <v>A+</v>
      </c>
      <c r="K35" s="4" t="str">
        <f t="shared" si="3"/>
        <v>Pass</v>
      </c>
    </row>
    <row r="36" spans="1:11" x14ac:dyDescent="0.3">
      <c r="A36" s="2" t="s">
        <v>135</v>
      </c>
      <c r="B36" s="2" t="s">
        <v>136</v>
      </c>
      <c r="C36" s="2">
        <v>73</v>
      </c>
      <c r="D36" s="2">
        <v>75</v>
      </c>
      <c r="E36" s="2">
        <v>71</v>
      </c>
      <c r="F36" s="2">
        <v>74</v>
      </c>
      <c r="G36" s="2">
        <v>70</v>
      </c>
      <c r="H36" s="4">
        <f t="shared" si="0"/>
        <v>363</v>
      </c>
      <c r="I36" s="4">
        <f t="shared" si="1"/>
        <v>72.599999999999994</v>
      </c>
      <c r="J36" s="4" t="str">
        <f t="shared" si="2"/>
        <v>B+</v>
      </c>
      <c r="K36" s="4" t="str">
        <f t="shared" si="3"/>
        <v>Pass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4B22-3AE5-4DBD-85B8-29D639AF1322}">
  <dimension ref="A1:K29"/>
  <sheetViews>
    <sheetView tabSelected="1" workbookViewId="0">
      <selection activeCell="O18" sqref="O18"/>
    </sheetView>
  </sheetViews>
  <sheetFormatPr defaultRowHeight="14.4" x14ac:dyDescent="0.3"/>
  <cols>
    <col min="1" max="1" width="7" bestFit="1" customWidth="1"/>
    <col min="2" max="2" width="12.77734375" bestFit="1" customWidth="1"/>
    <col min="3" max="3" width="6.88671875" bestFit="1" customWidth="1"/>
    <col min="4" max="4" width="6.33203125" bestFit="1" customWidth="1"/>
    <col min="5" max="5" width="7.33203125" bestFit="1" customWidth="1"/>
    <col min="6" max="6" width="9.44140625" bestFit="1" customWidth="1"/>
    <col min="7" max="7" width="5.88671875" bestFit="1" customWidth="1"/>
    <col min="8" max="8" width="10.88671875" bestFit="1" customWidth="1"/>
    <col min="9" max="9" width="10.44140625" bestFit="1" customWidth="1"/>
    <col min="10" max="10" width="6" bestFit="1" customWidth="1"/>
    <col min="11" max="11" width="6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193</v>
      </c>
      <c r="I1" s="3" t="s">
        <v>194</v>
      </c>
      <c r="J1" s="3" t="s">
        <v>195</v>
      </c>
      <c r="K1" s="3" t="s">
        <v>196</v>
      </c>
    </row>
    <row r="2" spans="1:11" x14ac:dyDescent="0.3">
      <c r="A2" s="2" t="s">
        <v>137</v>
      </c>
      <c r="B2" s="2" t="s">
        <v>138</v>
      </c>
      <c r="C2" s="2">
        <v>85</v>
      </c>
      <c r="D2" s="2">
        <v>87</v>
      </c>
      <c r="E2" s="2">
        <v>89</v>
      </c>
      <c r="F2" s="2">
        <v>88</v>
      </c>
      <c r="G2" s="2">
        <v>86</v>
      </c>
      <c r="H2" s="4">
        <f>SUM(C2:G2)</f>
        <v>435</v>
      </c>
      <c r="I2" s="4">
        <f>H2/500*100</f>
        <v>87</v>
      </c>
      <c r="J2" s="4" t="str">
        <f>IF(I2&gt;=90,"A+",IF(I2&gt;=80,"A",IF(I2&gt;=70,"B+",IF(I2&gt;=60,"B",IF(AND(I2&gt;=35,I2&lt;60),"C","Fail")))))</f>
        <v>A</v>
      </c>
      <c r="K2" s="4" t="str">
        <f>IF(I2&gt;=35,"Pass","Fail")</f>
        <v>Pass</v>
      </c>
    </row>
    <row r="3" spans="1:11" x14ac:dyDescent="0.3">
      <c r="A3" s="2" t="s">
        <v>139</v>
      </c>
      <c r="B3" s="2" t="s">
        <v>140</v>
      </c>
      <c r="C3" s="2">
        <v>77</v>
      </c>
      <c r="D3" s="2">
        <v>75</v>
      </c>
      <c r="E3" s="2">
        <v>73</v>
      </c>
      <c r="F3" s="2">
        <v>76</v>
      </c>
      <c r="G3" s="2">
        <v>74</v>
      </c>
      <c r="H3" s="4">
        <f t="shared" ref="H3:H29" si="0">SUM(C3:G3)</f>
        <v>375</v>
      </c>
      <c r="I3" s="4">
        <f t="shared" ref="I3:I29" si="1">H3/500*100</f>
        <v>75</v>
      </c>
      <c r="J3" s="4" t="str">
        <f t="shared" ref="J3:J29" si="2">IF(I3&gt;=90,"A+",IF(I3&gt;=80,"A",IF(I3&gt;=70,"B+",IF(I3&gt;=60,"B",IF(AND(I3&gt;=35,I3&lt;60),"C","Fail")))))</f>
        <v>B+</v>
      </c>
      <c r="K3" s="4" t="str">
        <f t="shared" ref="K3:K29" si="3">IF(I3&gt;=35,"Pass","Fail")</f>
        <v>Pass</v>
      </c>
    </row>
    <row r="4" spans="1:11" x14ac:dyDescent="0.3">
      <c r="A4" s="2" t="s">
        <v>141</v>
      </c>
      <c r="B4" s="2" t="s">
        <v>142</v>
      </c>
      <c r="C4" s="2">
        <v>68</v>
      </c>
      <c r="D4" s="2">
        <v>70</v>
      </c>
      <c r="E4" s="2">
        <v>72</v>
      </c>
      <c r="F4" s="2">
        <v>69</v>
      </c>
      <c r="G4" s="2">
        <v>71</v>
      </c>
      <c r="H4" s="4">
        <f t="shared" si="0"/>
        <v>350</v>
      </c>
      <c r="I4" s="4">
        <f t="shared" si="1"/>
        <v>70</v>
      </c>
      <c r="J4" s="4" t="str">
        <f t="shared" si="2"/>
        <v>B+</v>
      </c>
      <c r="K4" s="4" t="str">
        <f t="shared" si="3"/>
        <v>Pass</v>
      </c>
    </row>
    <row r="5" spans="1:11" x14ac:dyDescent="0.3">
      <c r="A5" s="2" t="s">
        <v>143</v>
      </c>
      <c r="B5" s="2" t="s">
        <v>144</v>
      </c>
      <c r="C5" s="2">
        <v>91</v>
      </c>
      <c r="D5" s="2">
        <v>92</v>
      </c>
      <c r="E5" s="2">
        <v>90</v>
      </c>
      <c r="F5" s="2">
        <v>94</v>
      </c>
      <c r="G5" s="2">
        <v>93</v>
      </c>
      <c r="H5" s="4">
        <f t="shared" si="0"/>
        <v>460</v>
      </c>
      <c r="I5" s="4">
        <f t="shared" si="1"/>
        <v>92</v>
      </c>
      <c r="J5" s="4" t="str">
        <f t="shared" si="2"/>
        <v>A+</v>
      </c>
      <c r="K5" s="4" t="str">
        <f t="shared" si="3"/>
        <v>Pass</v>
      </c>
    </row>
    <row r="6" spans="1:11" x14ac:dyDescent="0.3">
      <c r="A6" s="2" t="s">
        <v>145</v>
      </c>
      <c r="B6" s="2" t="s">
        <v>146</v>
      </c>
      <c r="C6" s="2">
        <v>80</v>
      </c>
      <c r="D6" s="2">
        <v>78</v>
      </c>
      <c r="E6" s="2">
        <v>82</v>
      </c>
      <c r="F6" s="2">
        <v>79</v>
      </c>
      <c r="G6" s="2">
        <v>81</v>
      </c>
      <c r="H6" s="4">
        <f t="shared" si="0"/>
        <v>400</v>
      </c>
      <c r="I6" s="4">
        <f t="shared" si="1"/>
        <v>80</v>
      </c>
      <c r="J6" s="4" t="str">
        <f t="shared" si="2"/>
        <v>A</v>
      </c>
      <c r="K6" s="4" t="str">
        <f t="shared" si="3"/>
        <v>Pass</v>
      </c>
    </row>
    <row r="7" spans="1:11" x14ac:dyDescent="0.3">
      <c r="A7" s="2" t="s">
        <v>147</v>
      </c>
      <c r="B7" s="2" t="s">
        <v>148</v>
      </c>
      <c r="C7" s="2">
        <v>64</v>
      </c>
      <c r="D7" s="2">
        <v>66</v>
      </c>
      <c r="E7" s="2">
        <v>65</v>
      </c>
      <c r="F7" s="2">
        <v>63</v>
      </c>
      <c r="G7" s="2">
        <v>67</v>
      </c>
      <c r="H7" s="4">
        <f t="shared" si="0"/>
        <v>325</v>
      </c>
      <c r="I7" s="4">
        <f t="shared" si="1"/>
        <v>65</v>
      </c>
      <c r="J7" s="4" t="str">
        <f t="shared" si="2"/>
        <v>B</v>
      </c>
      <c r="K7" s="4" t="str">
        <f t="shared" si="3"/>
        <v>Pass</v>
      </c>
    </row>
    <row r="8" spans="1:11" x14ac:dyDescent="0.3">
      <c r="A8" s="2" t="s">
        <v>149</v>
      </c>
      <c r="B8" s="2" t="s">
        <v>150</v>
      </c>
      <c r="C8" s="2">
        <v>88</v>
      </c>
      <c r="D8" s="2">
        <v>85</v>
      </c>
      <c r="E8" s="2">
        <v>90</v>
      </c>
      <c r="F8" s="2">
        <v>89</v>
      </c>
      <c r="G8" s="2">
        <v>87</v>
      </c>
      <c r="H8" s="4">
        <f t="shared" si="0"/>
        <v>439</v>
      </c>
      <c r="I8" s="4">
        <f t="shared" si="1"/>
        <v>87.8</v>
      </c>
      <c r="J8" s="4" t="str">
        <f t="shared" si="2"/>
        <v>A</v>
      </c>
      <c r="K8" s="4" t="str">
        <f t="shared" si="3"/>
        <v>Pass</v>
      </c>
    </row>
    <row r="9" spans="1:11" x14ac:dyDescent="0.3">
      <c r="A9" s="2" t="s">
        <v>151</v>
      </c>
      <c r="B9" s="2" t="s">
        <v>152</v>
      </c>
      <c r="C9" s="2">
        <v>72</v>
      </c>
      <c r="D9" s="2">
        <v>74</v>
      </c>
      <c r="E9" s="2">
        <v>70</v>
      </c>
      <c r="F9" s="2">
        <v>73</v>
      </c>
      <c r="G9" s="2">
        <v>75</v>
      </c>
      <c r="H9" s="4">
        <f t="shared" si="0"/>
        <v>364</v>
      </c>
      <c r="I9" s="4">
        <f t="shared" si="1"/>
        <v>72.8</v>
      </c>
      <c r="J9" s="4" t="str">
        <f t="shared" si="2"/>
        <v>B+</v>
      </c>
      <c r="K9" s="4" t="str">
        <f t="shared" si="3"/>
        <v>Pass</v>
      </c>
    </row>
    <row r="10" spans="1:11" x14ac:dyDescent="0.3">
      <c r="A10" s="2" t="s">
        <v>153</v>
      </c>
      <c r="B10" s="2" t="s">
        <v>154</v>
      </c>
      <c r="C10" s="2">
        <v>58</v>
      </c>
      <c r="D10" s="2">
        <v>60</v>
      </c>
      <c r="E10" s="2">
        <v>62</v>
      </c>
      <c r="F10" s="2">
        <v>61</v>
      </c>
      <c r="G10" s="2">
        <v>59</v>
      </c>
      <c r="H10" s="4">
        <f t="shared" si="0"/>
        <v>300</v>
      </c>
      <c r="I10" s="4">
        <f t="shared" si="1"/>
        <v>60</v>
      </c>
      <c r="J10" s="4" t="str">
        <f t="shared" si="2"/>
        <v>B</v>
      </c>
      <c r="K10" s="4" t="str">
        <f t="shared" si="3"/>
        <v>Pass</v>
      </c>
    </row>
    <row r="11" spans="1:11" x14ac:dyDescent="0.3">
      <c r="A11" s="2" t="s">
        <v>155</v>
      </c>
      <c r="B11" s="2" t="s">
        <v>156</v>
      </c>
      <c r="C11" s="2">
        <v>83</v>
      </c>
      <c r="D11" s="2">
        <v>80</v>
      </c>
      <c r="E11" s="2">
        <v>84</v>
      </c>
      <c r="F11" s="2">
        <v>85</v>
      </c>
      <c r="G11" s="2">
        <v>82</v>
      </c>
      <c r="H11" s="4">
        <f t="shared" si="0"/>
        <v>414</v>
      </c>
      <c r="I11" s="4">
        <f t="shared" si="1"/>
        <v>82.8</v>
      </c>
      <c r="J11" s="4" t="str">
        <f t="shared" si="2"/>
        <v>A</v>
      </c>
      <c r="K11" s="4" t="str">
        <f t="shared" si="3"/>
        <v>Pass</v>
      </c>
    </row>
    <row r="12" spans="1:11" x14ac:dyDescent="0.3">
      <c r="A12" s="2" t="s">
        <v>157</v>
      </c>
      <c r="B12" s="2" t="s">
        <v>158</v>
      </c>
      <c r="C12" s="2">
        <v>91</v>
      </c>
      <c r="D12" s="2">
        <v>94</v>
      </c>
      <c r="E12" s="2">
        <v>92</v>
      </c>
      <c r="F12" s="2">
        <v>95</v>
      </c>
      <c r="G12" s="2">
        <v>93</v>
      </c>
      <c r="H12" s="4">
        <f t="shared" si="0"/>
        <v>465</v>
      </c>
      <c r="I12" s="4">
        <f t="shared" si="1"/>
        <v>93</v>
      </c>
      <c r="J12" s="4" t="str">
        <f t="shared" si="2"/>
        <v>A+</v>
      </c>
      <c r="K12" s="4" t="str">
        <f t="shared" si="3"/>
        <v>Pass</v>
      </c>
    </row>
    <row r="13" spans="1:11" x14ac:dyDescent="0.3">
      <c r="A13" s="2" t="s">
        <v>159</v>
      </c>
      <c r="B13" s="2" t="s">
        <v>160</v>
      </c>
      <c r="C13" s="2">
        <v>69</v>
      </c>
      <c r="D13" s="2">
        <v>72</v>
      </c>
      <c r="E13" s="2">
        <v>71</v>
      </c>
      <c r="F13" s="2">
        <v>68</v>
      </c>
      <c r="G13" s="2">
        <v>70</v>
      </c>
      <c r="H13" s="4">
        <f t="shared" si="0"/>
        <v>350</v>
      </c>
      <c r="I13" s="4">
        <f t="shared" si="1"/>
        <v>70</v>
      </c>
      <c r="J13" s="4" t="str">
        <f t="shared" si="2"/>
        <v>B+</v>
      </c>
      <c r="K13" s="4" t="str">
        <f t="shared" si="3"/>
        <v>Pass</v>
      </c>
    </row>
    <row r="14" spans="1:11" x14ac:dyDescent="0.3">
      <c r="A14" s="2" t="s">
        <v>161</v>
      </c>
      <c r="B14" s="2" t="s">
        <v>162</v>
      </c>
      <c r="C14" s="2">
        <v>86</v>
      </c>
      <c r="D14" s="2">
        <v>89</v>
      </c>
      <c r="E14" s="2">
        <v>90</v>
      </c>
      <c r="F14" s="2">
        <v>88</v>
      </c>
      <c r="G14" s="2">
        <v>87</v>
      </c>
      <c r="H14" s="4">
        <f t="shared" si="0"/>
        <v>440</v>
      </c>
      <c r="I14" s="4">
        <f t="shared" si="1"/>
        <v>88</v>
      </c>
      <c r="J14" s="4" t="str">
        <f t="shared" si="2"/>
        <v>A</v>
      </c>
      <c r="K14" s="4" t="str">
        <f t="shared" si="3"/>
        <v>Pass</v>
      </c>
    </row>
    <row r="15" spans="1:11" x14ac:dyDescent="0.3">
      <c r="A15" s="2" t="s">
        <v>163</v>
      </c>
      <c r="B15" s="2" t="s">
        <v>164</v>
      </c>
      <c r="C15" s="2">
        <v>63</v>
      </c>
      <c r="D15" s="2">
        <v>65</v>
      </c>
      <c r="E15" s="2">
        <v>60</v>
      </c>
      <c r="F15" s="2">
        <v>62</v>
      </c>
      <c r="G15" s="2">
        <v>64</v>
      </c>
      <c r="H15" s="4">
        <f t="shared" si="0"/>
        <v>314</v>
      </c>
      <c r="I15" s="4">
        <f t="shared" si="1"/>
        <v>62.8</v>
      </c>
      <c r="J15" s="4" t="str">
        <f t="shared" si="2"/>
        <v>B</v>
      </c>
      <c r="K15" s="4" t="str">
        <f t="shared" si="3"/>
        <v>Pass</v>
      </c>
    </row>
    <row r="16" spans="1:11" x14ac:dyDescent="0.3">
      <c r="A16" s="2" t="s">
        <v>165</v>
      </c>
      <c r="B16" s="2" t="s">
        <v>166</v>
      </c>
      <c r="C16" s="2">
        <v>84</v>
      </c>
      <c r="D16" s="2">
        <v>82</v>
      </c>
      <c r="E16" s="2">
        <v>85</v>
      </c>
      <c r="F16" s="2">
        <v>81</v>
      </c>
      <c r="G16" s="2">
        <v>83</v>
      </c>
      <c r="H16" s="4">
        <f t="shared" si="0"/>
        <v>415</v>
      </c>
      <c r="I16" s="4">
        <f t="shared" si="1"/>
        <v>83</v>
      </c>
      <c r="J16" s="4" t="str">
        <f t="shared" si="2"/>
        <v>A</v>
      </c>
      <c r="K16" s="4" t="str">
        <f t="shared" si="3"/>
        <v>Pass</v>
      </c>
    </row>
    <row r="17" spans="1:11" x14ac:dyDescent="0.3">
      <c r="A17" s="2" t="s">
        <v>167</v>
      </c>
      <c r="B17" s="2" t="s">
        <v>168</v>
      </c>
      <c r="C17" s="2">
        <v>70</v>
      </c>
      <c r="D17" s="2">
        <v>74</v>
      </c>
      <c r="E17" s="2">
        <v>72</v>
      </c>
      <c r="F17" s="2">
        <v>73</v>
      </c>
      <c r="G17" s="2">
        <v>75</v>
      </c>
      <c r="H17" s="4">
        <f t="shared" si="0"/>
        <v>364</v>
      </c>
      <c r="I17" s="4">
        <f t="shared" si="1"/>
        <v>72.8</v>
      </c>
      <c r="J17" s="4" t="str">
        <f t="shared" si="2"/>
        <v>B+</v>
      </c>
      <c r="K17" s="4" t="str">
        <f t="shared" si="3"/>
        <v>Pass</v>
      </c>
    </row>
    <row r="18" spans="1:11" x14ac:dyDescent="0.3">
      <c r="A18" s="2" t="s">
        <v>169</v>
      </c>
      <c r="B18" s="2" t="s">
        <v>170</v>
      </c>
      <c r="C18" s="2">
        <v>79</v>
      </c>
      <c r="D18" s="2">
        <v>81</v>
      </c>
      <c r="E18" s="2">
        <v>78</v>
      </c>
      <c r="F18" s="2">
        <v>80</v>
      </c>
      <c r="G18" s="2">
        <v>82</v>
      </c>
      <c r="H18" s="4">
        <f t="shared" si="0"/>
        <v>400</v>
      </c>
      <c r="I18" s="4">
        <f t="shared" si="1"/>
        <v>80</v>
      </c>
      <c r="J18" s="4" t="str">
        <f t="shared" si="2"/>
        <v>A</v>
      </c>
      <c r="K18" s="4" t="str">
        <f t="shared" si="3"/>
        <v>Pass</v>
      </c>
    </row>
    <row r="19" spans="1:11" x14ac:dyDescent="0.3">
      <c r="A19" s="2" t="s">
        <v>171</v>
      </c>
      <c r="B19" s="2" t="s">
        <v>172</v>
      </c>
      <c r="C19" s="2">
        <v>67</v>
      </c>
      <c r="D19" s="2">
        <v>70</v>
      </c>
      <c r="E19" s="2">
        <v>69</v>
      </c>
      <c r="F19" s="2">
        <v>71</v>
      </c>
      <c r="G19" s="2">
        <v>68</v>
      </c>
      <c r="H19" s="4">
        <f t="shared" si="0"/>
        <v>345</v>
      </c>
      <c r="I19" s="4">
        <f t="shared" si="1"/>
        <v>69</v>
      </c>
      <c r="J19" s="4" t="str">
        <f t="shared" si="2"/>
        <v>B</v>
      </c>
      <c r="K19" s="4" t="str">
        <f t="shared" si="3"/>
        <v>Pass</v>
      </c>
    </row>
    <row r="20" spans="1:11" x14ac:dyDescent="0.3">
      <c r="A20" s="2" t="s">
        <v>173</v>
      </c>
      <c r="B20" s="2" t="s">
        <v>174</v>
      </c>
      <c r="C20" s="2">
        <v>90</v>
      </c>
      <c r="D20" s="2">
        <v>91</v>
      </c>
      <c r="E20" s="2">
        <v>93</v>
      </c>
      <c r="F20" s="2">
        <v>92</v>
      </c>
      <c r="G20" s="2">
        <v>94</v>
      </c>
      <c r="H20" s="4">
        <f t="shared" si="0"/>
        <v>460</v>
      </c>
      <c r="I20" s="4">
        <f t="shared" si="1"/>
        <v>92</v>
      </c>
      <c r="J20" s="4" t="str">
        <f t="shared" si="2"/>
        <v>A+</v>
      </c>
      <c r="K20" s="4" t="str">
        <f t="shared" si="3"/>
        <v>Pass</v>
      </c>
    </row>
    <row r="21" spans="1:11" x14ac:dyDescent="0.3">
      <c r="A21" s="2" t="s">
        <v>175</v>
      </c>
      <c r="B21" s="2" t="s">
        <v>176</v>
      </c>
      <c r="C21" s="2">
        <v>61</v>
      </c>
      <c r="D21" s="2">
        <v>64</v>
      </c>
      <c r="E21" s="2">
        <v>62</v>
      </c>
      <c r="F21" s="2">
        <v>65</v>
      </c>
      <c r="G21" s="2">
        <v>63</v>
      </c>
      <c r="H21" s="4">
        <f t="shared" si="0"/>
        <v>315</v>
      </c>
      <c r="I21" s="4">
        <f t="shared" si="1"/>
        <v>63</v>
      </c>
      <c r="J21" s="4" t="str">
        <f t="shared" si="2"/>
        <v>B</v>
      </c>
      <c r="K21" s="4" t="str">
        <f t="shared" si="3"/>
        <v>Pass</v>
      </c>
    </row>
    <row r="22" spans="1:11" x14ac:dyDescent="0.3">
      <c r="A22" s="2" t="s">
        <v>177</v>
      </c>
      <c r="B22" s="2" t="s">
        <v>178</v>
      </c>
      <c r="C22" s="2">
        <v>77</v>
      </c>
      <c r="D22" s="2">
        <v>79</v>
      </c>
      <c r="E22" s="2">
        <v>78</v>
      </c>
      <c r="F22" s="2">
        <v>80</v>
      </c>
      <c r="G22" s="2">
        <v>81</v>
      </c>
      <c r="H22" s="4">
        <f t="shared" si="0"/>
        <v>395</v>
      </c>
      <c r="I22" s="4">
        <f t="shared" si="1"/>
        <v>79</v>
      </c>
      <c r="J22" s="4" t="str">
        <f t="shared" si="2"/>
        <v>B+</v>
      </c>
      <c r="K22" s="4" t="str">
        <f t="shared" si="3"/>
        <v>Pass</v>
      </c>
    </row>
    <row r="23" spans="1:11" x14ac:dyDescent="0.3">
      <c r="A23" s="2" t="s">
        <v>179</v>
      </c>
      <c r="B23" s="2" t="s">
        <v>180</v>
      </c>
      <c r="C23" s="2">
        <v>73</v>
      </c>
      <c r="D23" s="2">
        <v>75</v>
      </c>
      <c r="E23" s="2">
        <v>70</v>
      </c>
      <c r="F23" s="2">
        <v>72</v>
      </c>
      <c r="G23" s="2">
        <v>74</v>
      </c>
      <c r="H23" s="4">
        <f t="shared" si="0"/>
        <v>364</v>
      </c>
      <c r="I23" s="4">
        <f t="shared" si="1"/>
        <v>72.8</v>
      </c>
      <c r="J23" s="4" t="str">
        <f t="shared" si="2"/>
        <v>B+</v>
      </c>
      <c r="K23" s="4" t="str">
        <f t="shared" si="3"/>
        <v>Pass</v>
      </c>
    </row>
    <row r="24" spans="1:11" x14ac:dyDescent="0.3">
      <c r="A24" s="2" t="s">
        <v>181</v>
      </c>
      <c r="B24" s="2" t="s">
        <v>182</v>
      </c>
      <c r="C24" s="2">
        <v>88</v>
      </c>
      <c r="D24" s="2">
        <v>90</v>
      </c>
      <c r="E24" s="2">
        <v>89</v>
      </c>
      <c r="F24" s="2">
        <v>87</v>
      </c>
      <c r="G24" s="2">
        <v>91</v>
      </c>
      <c r="H24" s="4">
        <f t="shared" si="0"/>
        <v>445</v>
      </c>
      <c r="I24" s="4">
        <f t="shared" si="1"/>
        <v>89</v>
      </c>
      <c r="J24" s="4" t="str">
        <f t="shared" si="2"/>
        <v>A</v>
      </c>
      <c r="K24" s="4" t="str">
        <f t="shared" si="3"/>
        <v>Pass</v>
      </c>
    </row>
    <row r="25" spans="1:11" x14ac:dyDescent="0.3">
      <c r="A25" s="2" t="s">
        <v>183</v>
      </c>
      <c r="B25" s="2" t="s">
        <v>184</v>
      </c>
      <c r="C25" s="2">
        <v>66</v>
      </c>
      <c r="D25" s="2">
        <v>68</v>
      </c>
      <c r="E25" s="2">
        <v>70</v>
      </c>
      <c r="F25" s="2">
        <v>69</v>
      </c>
      <c r="G25" s="2">
        <v>65</v>
      </c>
      <c r="H25" s="4">
        <f t="shared" si="0"/>
        <v>338</v>
      </c>
      <c r="I25" s="4">
        <f t="shared" si="1"/>
        <v>67.600000000000009</v>
      </c>
      <c r="J25" s="4" t="str">
        <f t="shared" si="2"/>
        <v>B</v>
      </c>
      <c r="K25" s="4" t="str">
        <f t="shared" si="3"/>
        <v>Pass</v>
      </c>
    </row>
    <row r="26" spans="1:11" x14ac:dyDescent="0.3">
      <c r="A26" s="2" t="s">
        <v>185</v>
      </c>
      <c r="B26" s="2" t="s">
        <v>186</v>
      </c>
      <c r="C26" s="2">
        <v>92</v>
      </c>
      <c r="D26" s="2">
        <v>94</v>
      </c>
      <c r="E26" s="2">
        <v>95</v>
      </c>
      <c r="F26" s="2">
        <v>96</v>
      </c>
      <c r="G26" s="2">
        <v>93</v>
      </c>
      <c r="H26" s="4">
        <f t="shared" si="0"/>
        <v>470</v>
      </c>
      <c r="I26" s="4">
        <f t="shared" si="1"/>
        <v>94</v>
      </c>
      <c r="J26" s="4" t="str">
        <f t="shared" si="2"/>
        <v>A+</v>
      </c>
      <c r="K26" s="4" t="str">
        <f t="shared" si="3"/>
        <v>Pass</v>
      </c>
    </row>
    <row r="27" spans="1:11" x14ac:dyDescent="0.3">
      <c r="A27" s="2" t="s">
        <v>187</v>
      </c>
      <c r="B27" s="2" t="s">
        <v>188</v>
      </c>
      <c r="C27" s="2">
        <v>54</v>
      </c>
      <c r="D27" s="2">
        <v>58</v>
      </c>
      <c r="E27" s="2">
        <v>56</v>
      </c>
      <c r="F27" s="2">
        <v>55</v>
      </c>
      <c r="G27" s="2">
        <v>57</v>
      </c>
      <c r="H27" s="4">
        <f t="shared" si="0"/>
        <v>280</v>
      </c>
      <c r="I27" s="4">
        <f t="shared" si="1"/>
        <v>56.000000000000007</v>
      </c>
      <c r="J27" s="4" t="str">
        <f t="shared" si="2"/>
        <v>C</v>
      </c>
      <c r="K27" s="4" t="str">
        <f t="shared" si="3"/>
        <v>Pass</v>
      </c>
    </row>
    <row r="28" spans="1:11" x14ac:dyDescent="0.3">
      <c r="A28" s="2" t="s">
        <v>189</v>
      </c>
      <c r="B28" s="2" t="s">
        <v>190</v>
      </c>
      <c r="C28" s="2">
        <v>81</v>
      </c>
      <c r="D28" s="2">
        <v>83</v>
      </c>
      <c r="E28" s="2">
        <v>82</v>
      </c>
      <c r="F28" s="2">
        <v>84</v>
      </c>
      <c r="G28" s="2">
        <v>85</v>
      </c>
      <c r="H28" s="4">
        <f t="shared" si="0"/>
        <v>415</v>
      </c>
      <c r="I28" s="4">
        <f t="shared" si="1"/>
        <v>83</v>
      </c>
      <c r="J28" s="4" t="str">
        <f t="shared" si="2"/>
        <v>A</v>
      </c>
      <c r="K28" s="4" t="str">
        <f t="shared" si="3"/>
        <v>Pass</v>
      </c>
    </row>
    <row r="29" spans="1:11" x14ac:dyDescent="0.3">
      <c r="A29" s="2" t="s">
        <v>191</v>
      </c>
      <c r="B29" s="2" t="s">
        <v>192</v>
      </c>
      <c r="C29" s="2">
        <v>74</v>
      </c>
      <c r="D29" s="2">
        <v>77</v>
      </c>
      <c r="E29" s="2">
        <v>73</v>
      </c>
      <c r="F29" s="2">
        <v>75</v>
      </c>
      <c r="G29" s="2">
        <v>72</v>
      </c>
      <c r="H29" s="4">
        <f t="shared" si="0"/>
        <v>371</v>
      </c>
      <c r="I29" s="4">
        <f t="shared" si="1"/>
        <v>74.2</v>
      </c>
      <c r="J29" s="4" t="str">
        <f t="shared" si="2"/>
        <v>B+</v>
      </c>
      <c r="K29" s="4" t="str">
        <f t="shared" si="3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Div - A</vt:lpstr>
      <vt:lpstr>Div - B</vt:lpstr>
      <vt:lpstr>Div -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saurabh sonawane</cp:lastModifiedBy>
  <dcterms:created xsi:type="dcterms:W3CDTF">2015-06-05T18:17:20Z</dcterms:created>
  <dcterms:modified xsi:type="dcterms:W3CDTF">2025-10-17T11:18:42Z</dcterms:modified>
</cp:coreProperties>
</file>