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158C0ECD-A63E-4EED-8EA4-69ABDA379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Travel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R11" i="1"/>
  <c r="R4" i="1"/>
  <c r="S7" i="1"/>
  <c r="R7" i="1"/>
  <c r="S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L1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</calcChain>
</file>

<file path=xl/sharedStrings.xml><?xml version="1.0" encoding="utf-8"?>
<sst xmlns="http://schemas.openxmlformats.org/spreadsheetml/2006/main" count="111" uniqueCount="107">
  <si>
    <t>Trip ID</t>
  </si>
  <si>
    <t>Traveler Name</t>
  </si>
  <si>
    <t>Destination</t>
  </si>
  <si>
    <t>Days</t>
  </si>
  <si>
    <t>Transportation (₹)</t>
  </si>
  <si>
    <t>Accommodation (₹)</t>
  </si>
  <si>
    <t>Food (₹)</t>
  </si>
  <si>
    <t>Activities (₹)</t>
  </si>
  <si>
    <t>Misc (₹)</t>
  </si>
  <si>
    <t>Estimated Budget (₹)</t>
  </si>
  <si>
    <t>Actual Expense (₹)</t>
  </si>
  <si>
    <t>T001</t>
  </si>
  <si>
    <t>Saurabh</t>
  </si>
  <si>
    <t>Goa</t>
  </si>
  <si>
    <t>T002</t>
  </si>
  <si>
    <t>Sakshi</t>
  </si>
  <si>
    <t>Manali</t>
  </si>
  <si>
    <t>T003</t>
  </si>
  <si>
    <t>Rohan</t>
  </si>
  <si>
    <t>Mumbai</t>
  </si>
  <si>
    <t>T004</t>
  </si>
  <si>
    <t>Neha</t>
  </si>
  <si>
    <t>Jaipur</t>
  </si>
  <si>
    <t>T005</t>
  </si>
  <si>
    <t>Priya</t>
  </si>
  <si>
    <t>Shimla</t>
  </si>
  <si>
    <t>T006</t>
  </si>
  <si>
    <t>Aditya</t>
  </si>
  <si>
    <t>Delhi</t>
  </si>
  <si>
    <t>T007</t>
  </si>
  <si>
    <t>Aarav</t>
  </si>
  <si>
    <t>Udaipur</t>
  </si>
  <si>
    <t>T008</t>
  </si>
  <si>
    <t>Sneha</t>
  </si>
  <si>
    <t>Kerala</t>
  </si>
  <si>
    <t>T009</t>
  </si>
  <si>
    <t>Isha</t>
  </si>
  <si>
    <t>Varanasi</t>
  </si>
  <si>
    <t>T010</t>
  </si>
  <si>
    <t>Raj</t>
  </si>
  <si>
    <t>Rishikesh</t>
  </si>
  <si>
    <t>T011</t>
  </si>
  <si>
    <t>Tanvi</t>
  </si>
  <si>
    <t>Chennai</t>
  </si>
  <si>
    <t>T012</t>
  </si>
  <si>
    <t>Karan</t>
  </si>
  <si>
    <t>Bangalore</t>
  </si>
  <si>
    <t>T013</t>
  </si>
  <si>
    <t>Nidhi</t>
  </si>
  <si>
    <t>Agra</t>
  </si>
  <si>
    <t>T014</t>
  </si>
  <si>
    <t>Arjun</t>
  </si>
  <si>
    <t>Hyderabad</t>
  </si>
  <si>
    <t>T015</t>
  </si>
  <si>
    <t>Meena</t>
  </si>
  <si>
    <t>T016</t>
  </si>
  <si>
    <t>Rahul</t>
  </si>
  <si>
    <t>Leh Ladakh</t>
  </si>
  <si>
    <t>T017</t>
  </si>
  <si>
    <t>Divya</t>
  </si>
  <si>
    <t>T018</t>
  </si>
  <si>
    <t>Nikhil</t>
  </si>
  <si>
    <t>Kashmir</t>
  </si>
  <si>
    <t>T019</t>
  </si>
  <si>
    <t>Pooja</t>
  </si>
  <si>
    <t>Pune</t>
  </si>
  <si>
    <t>T020</t>
  </si>
  <si>
    <t>Ankit</t>
  </si>
  <si>
    <t>T021</t>
  </si>
  <si>
    <t>Snehal</t>
  </si>
  <si>
    <t>Coorg</t>
  </si>
  <si>
    <t>T022</t>
  </si>
  <si>
    <t>Manav</t>
  </si>
  <si>
    <t>Lonavala</t>
  </si>
  <si>
    <t>T023</t>
  </si>
  <si>
    <t>Gaurav</t>
  </si>
  <si>
    <t>Pondicherry</t>
  </si>
  <si>
    <t>T024</t>
  </si>
  <si>
    <t>Aisha</t>
  </si>
  <si>
    <t>Darjeeling</t>
  </si>
  <si>
    <t>T025</t>
  </si>
  <si>
    <t>Kabir</t>
  </si>
  <si>
    <t>Amritsar</t>
  </si>
  <si>
    <t>T026</t>
  </si>
  <si>
    <t>Ishaan</t>
  </si>
  <si>
    <t>Kodaikanal</t>
  </si>
  <si>
    <t>T027</t>
  </si>
  <si>
    <t>Simran</t>
  </si>
  <si>
    <t>Ooty</t>
  </si>
  <si>
    <t>T028</t>
  </si>
  <si>
    <t>Krish</t>
  </si>
  <si>
    <t>T029</t>
  </si>
  <si>
    <t>Reema</t>
  </si>
  <si>
    <t>Mysore</t>
  </si>
  <si>
    <t>T030</t>
  </si>
  <si>
    <t>Om</t>
  </si>
  <si>
    <t>Matheran</t>
  </si>
  <si>
    <t>Budget Difference (Over/Under)</t>
  </si>
  <si>
    <t>Over/Under</t>
  </si>
  <si>
    <t>Avg Daily Expense</t>
  </si>
  <si>
    <t>Over Budget/Under Budget</t>
  </si>
  <si>
    <t>Highest Actual Expense</t>
  </si>
  <si>
    <t>Lowest Actual Expense</t>
  </si>
  <si>
    <t>TOTAL EXPENSE</t>
  </si>
  <si>
    <t>AVG ESTIMATED BUDGET</t>
  </si>
  <si>
    <t>Most Expensive Destination</t>
  </si>
  <si>
    <t>Most Lowest Expensive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</si>
</sst>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17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I16" sqref="I16"/>
    </sheetView>
  </sheetViews>
  <sheetFormatPr defaultRowHeight="14.4" x14ac:dyDescent="0.3"/>
  <cols>
    <col min="1" max="1" width="6.44140625" bestFit="1" customWidth="1"/>
    <col min="2" max="2" width="13.33203125" bestFit="1" customWidth="1"/>
    <col min="3" max="3" width="10.6640625" bestFit="1" customWidth="1"/>
    <col min="4" max="4" width="5" bestFit="1" customWidth="1"/>
    <col min="5" max="5" width="16.33203125" bestFit="1" customWidth="1"/>
    <col min="6" max="6" width="18" bestFit="1" customWidth="1"/>
    <col min="7" max="7" width="8" bestFit="1" customWidth="1"/>
    <col min="8" max="8" width="11.33203125" bestFit="1" customWidth="1"/>
    <col min="9" max="9" width="7.6640625" bestFit="1" customWidth="1"/>
    <col min="10" max="10" width="18.77734375" bestFit="1" customWidth="1"/>
    <col min="11" max="11" width="16.5546875" bestFit="1" customWidth="1"/>
    <col min="12" max="12" width="27.33203125" bestFit="1" customWidth="1"/>
    <col min="13" max="13" width="11.109375" bestFit="1" customWidth="1"/>
    <col min="14" max="14" width="16.21875" bestFit="1" customWidth="1"/>
    <col min="15" max="15" width="24.33203125" bestFit="1" customWidth="1"/>
    <col min="18" max="18" width="23.77734375" bestFit="1" customWidth="1"/>
    <col min="19" max="19" width="30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97</v>
      </c>
      <c r="M1" s="4" t="s">
        <v>98</v>
      </c>
      <c r="N1" s="4" t="s">
        <v>99</v>
      </c>
      <c r="O1" s="4" t="s">
        <v>100</v>
      </c>
    </row>
    <row r="2" spans="1:19" x14ac:dyDescent="0.3">
      <c r="A2" s="2" t="s">
        <v>11</v>
      </c>
      <c r="B2" s="2" t="s">
        <v>12</v>
      </c>
      <c r="C2" s="2" t="s">
        <v>13</v>
      </c>
      <c r="D2" s="2">
        <v>5</v>
      </c>
      <c r="E2" s="2">
        <v>6000</v>
      </c>
      <c r="F2" s="2">
        <v>8500</v>
      </c>
      <c r="G2" s="2">
        <v>4000</v>
      </c>
      <c r="H2" s="2">
        <v>2500</v>
      </c>
      <c r="I2" s="2">
        <v>1000</v>
      </c>
      <c r="J2" s="2">
        <f>SUM(E2:I2)</f>
        <v>22000</v>
      </c>
      <c r="K2" s="2">
        <v>23500</v>
      </c>
      <c r="L2" s="3">
        <f>K2-J2</f>
        <v>1500</v>
      </c>
      <c r="M2" s="3" t="str">
        <f>IF(L2&gt;0,"Over",IF(L2=0,"Equal","Under"))</f>
        <v>Over</v>
      </c>
      <c r="N2" s="5">
        <f>K2/D2</f>
        <v>4700</v>
      </c>
      <c r="O2" s="3" t="str">
        <f>IF(L2&gt;0,"Over Budget","Under Budget")</f>
        <v>Over Budget</v>
      </c>
    </row>
    <row r="3" spans="1:19" x14ac:dyDescent="0.3">
      <c r="A3" s="2" t="s">
        <v>14</v>
      </c>
      <c r="B3" s="2" t="s">
        <v>15</v>
      </c>
      <c r="C3" s="2" t="s">
        <v>16</v>
      </c>
      <c r="D3" s="2">
        <v>7</v>
      </c>
      <c r="E3" s="2">
        <v>9500</v>
      </c>
      <c r="F3" s="2">
        <v>12000</v>
      </c>
      <c r="G3" s="2">
        <v>5000</v>
      </c>
      <c r="H3" s="2">
        <v>4000</v>
      </c>
      <c r="I3" s="2">
        <v>2000</v>
      </c>
      <c r="J3" s="2">
        <f t="shared" ref="J3:J31" si="0">SUM(E3:I3)</f>
        <v>32500</v>
      </c>
      <c r="K3" s="2">
        <v>31000</v>
      </c>
      <c r="L3" s="3">
        <f t="shared" ref="L3:L31" si="1">K3-J3</f>
        <v>-1500</v>
      </c>
      <c r="M3" s="3" t="str">
        <f t="shared" ref="M3:M31" si="2">IF(L3&gt;0,"Over",IF(L3=0,"Equal","Under"))</f>
        <v>Under</v>
      </c>
      <c r="N3" s="5">
        <f t="shared" ref="N3:N31" si="3">K3/D3</f>
        <v>4428.5714285714284</v>
      </c>
      <c r="O3" s="3" t="str">
        <f t="shared" ref="O3:O31" si="4">IF(L3&gt;0,"Over Budget","Under Budget")</f>
        <v>Under Budget</v>
      </c>
      <c r="R3" s="3" t="s">
        <v>101</v>
      </c>
      <c r="S3" s="3" t="s">
        <v>102</v>
      </c>
    </row>
    <row r="4" spans="1:19" x14ac:dyDescent="0.3">
      <c r="A4" s="2" t="s">
        <v>17</v>
      </c>
      <c r="B4" s="2" t="s">
        <v>18</v>
      </c>
      <c r="C4" s="2" t="s">
        <v>19</v>
      </c>
      <c r="D4" s="2">
        <v>3</v>
      </c>
      <c r="E4" s="2">
        <v>3000</v>
      </c>
      <c r="F4" s="2">
        <v>6000</v>
      </c>
      <c r="G4" s="2">
        <v>2500</v>
      </c>
      <c r="H4" s="2">
        <v>1500</v>
      </c>
      <c r="I4" s="2">
        <v>500</v>
      </c>
      <c r="J4" s="2">
        <f t="shared" si="0"/>
        <v>13500</v>
      </c>
      <c r="K4" s="2">
        <v>12800</v>
      </c>
      <c r="L4" s="3">
        <f t="shared" si="1"/>
        <v>-700</v>
      </c>
      <c r="M4" s="3" t="str">
        <f t="shared" si="2"/>
        <v>Under</v>
      </c>
      <c r="N4" s="5">
        <f t="shared" si="3"/>
        <v>4266.666666666667</v>
      </c>
      <c r="O4" s="3" t="str">
        <f t="shared" si="4"/>
        <v>Under Budget</v>
      </c>
      <c r="R4" s="3">
        <f>MAX(K2:K31)</f>
        <v>38500</v>
      </c>
      <c r="S4" s="3">
        <f>MIN(K2:K31)</f>
        <v>7600</v>
      </c>
    </row>
    <row r="5" spans="1:19" x14ac:dyDescent="0.3">
      <c r="A5" s="2" t="s">
        <v>20</v>
      </c>
      <c r="B5" s="2" t="s">
        <v>21</v>
      </c>
      <c r="C5" s="2" t="s">
        <v>22</v>
      </c>
      <c r="D5" s="2">
        <v>4</v>
      </c>
      <c r="E5" s="2">
        <v>4000</v>
      </c>
      <c r="F5" s="2">
        <v>5500</v>
      </c>
      <c r="G5" s="2">
        <v>3000</v>
      </c>
      <c r="H5" s="2">
        <v>2000</v>
      </c>
      <c r="I5" s="2">
        <v>800</v>
      </c>
      <c r="J5" s="2">
        <f t="shared" si="0"/>
        <v>15300</v>
      </c>
      <c r="K5" s="2">
        <v>14800</v>
      </c>
      <c r="L5" s="3">
        <f t="shared" si="1"/>
        <v>-500</v>
      </c>
      <c r="M5" s="3" t="str">
        <f t="shared" si="2"/>
        <v>Under</v>
      </c>
      <c r="N5" s="5">
        <f t="shared" si="3"/>
        <v>3700</v>
      </c>
      <c r="O5" s="3" t="str">
        <f t="shared" si="4"/>
        <v>Under Budget</v>
      </c>
    </row>
    <row r="6" spans="1:19" x14ac:dyDescent="0.3">
      <c r="A6" s="2" t="s">
        <v>23</v>
      </c>
      <c r="B6" s="2" t="s">
        <v>24</v>
      </c>
      <c r="C6" s="2" t="s">
        <v>25</v>
      </c>
      <c r="D6" s="2">
        <v>6</v>
      </c>
      <c r="E6" s="2">
        <v>8000</v>
      </c>
      <c r="F6" s="2">
        <v>9500</v>
      </c>
      <c r="G6" s="2">
        <v>4800</v>
      </c>
      <c r="H6" s="2">
        <v>3500</v>
      </c>
      <c r="I6" s="2">
        <v>1000</v>
      </c>
      <c r="J6" s="2">
        <f t="shared" si="0"/>
        <v>26800</v>
      </c>
      <c r="K6" s="2">
        <v>26800</v>
      </c>
      <c r="L6" s="3">
        <f t="shared" si="1"/>
        <v>0</v>
      </c>
      <c r="M6" s="3" t="str">
        <f t="shared" si="2"/>
        <v>Equal</v>
      </c>
      <c r="N6" s="5">
        <f t="shared" si="3"/>
        <v>4466.666666666667</v>
      </c>
      <c r="O6" s="3" t="str">
        <f t="shared" si="4"/>
        <v>Under Budget</v>
      </c>
      <c r="R6" s="3" t="s">
        <v>103</v>
      </c>
      <c r="S6" s="3" t="s">
        <v>104</v>
      </c>
    </row>
    <row r="7" spans="1:19" x14ac:dyDescent="0.3">
      <c r="A7" s="2" t="s">
        <v>26</v>
      </c>
      <c r="B7" s="2" t="s">
        <v>27</v>
      </c>
      <c r="C7" s="2" t="s">
        <v>28</v>
      </c>
      <c r="D7" s="2">
        <v>3</v>
      </c>
      <c r="E7" s="2">
        <v>2000</v>
      </c>
      <c r="F7" s="2">
        <v>5000</v>
      </c>
      <c r="G7" s="2">
        <v>2000</v>
      </c>
      <c r="H7" s="2">
        <v>1000</v>
      </c>
      <c r="I7" s="2">
        <v>400</v>
      </c>
      <c r="J7" s="2">
        <f t="shared" si="0"/>
        <v>10400</v>
      </c>
      <c r="K7" s="2">
        <v>9800</v>
      </c>
      <c r="L7" s="3">
        <f t="shared" si="1"/>
        <v>-600</v>
      </c>
      <c r="M7" s="3" t="str">
        <f t="shared" si="2"/>
        <v>Under</v>
      </c>
      <c r="N7" s="5">
        <f t="shared" si="3"/>
        <v>3266.6666666666665</v>
      </c>
      <c r="O7" s="3" t="str">
        <f t="shared" si="4"/>
        <v>Under Budget</v>
      </c>
      <c r="R7" s="3">
        <f>SUM(K2:K31)</f>
        <v>554200</v>
      </c>
      <c r="S7" s="6">
        <f>AVERAGE(J2:J31)</f>
        <v>18733.333333333332</v>
      </c>
    </row>
    <row r="8" spans="1:19" x14ac:dyDescent="0.3">
      <c r="A8" s="2" t="s">
        <v>29</v>
      </c>
      <c r="B8" s="2" t="s">
        <v>30</v>
      </c>
      <c r="C8" s="2" t="s">
        <v>31</v>
      </c>
      <c r="D8" s="2">
        <v>5</v>
      </c>
      <c r="E8" s="2">
        <v>5000</v>
      </c>
      <c r="F8" s="2">
        <v>8000</v>
      </c>
      <c r="G8" s="2">
        <v>3500</v>
      </c>
      <c r="H8" s="2">
        <v>2000</v>
      </c>
      <c r="I8" s="2">
        <v>700</v>
      </c>
      <c r="J8" s="2">
        <f t="shared" si="0"/>
        <v>19200</v>
      </c>
      <c r="K8" s="2">
        <v>19200</v>
      </c>
      <c r="L8" s="3">
        <f t="shared" si="1"/>
        <v>0</v>
      </c>
      <c r="M8" s="3" t="str">
        <f t="shared" si="2"/>
        <v>Equal</v>
      </c>
      <c r="N8" s="5">
        <f t="shared" si="3"/>
        <v>3840</v>
      </c>
      <c r="O8" s="3" t="str">
        <f t="shared" si="4"/>
        <v>Under Budget</v>
      </c>
    </row>
    <row r="9" spans="1:19" x14ac:dyDescent="0.3">
      <c r="A9" s="2" t="s">
        <v>32</v>
      </c>
      <c r="B9" s="2" t="s">
        <v>33</v>
      </c>
      <c r="C9" s="2" t="s">
        <v>34</v>
      </c>
      <c r="D9" s="2">
        <v>8</v>
      </c>
      <c r="E9" s="2">
        <v>9500</v>
      </c>
      <c r="F9" s="2">
        <v>12500</v>
      </c>
      <c r="G9" s="2">
        <v>6000</v>
      </c>
      <c r="H9" s="2">
        <v>4000</v>
      </c>
      <c r="I9" s="2">
        <v>1500</v>
      </c>
      <c r="J9" s="2">
        <f t="shared" si="0"/>
        <v>33500</v>
      </c>
      <c r="K9" s="2">
        <v>34500</v>
      </c>
      <c r="L9" s="3">
        <f t="shared" si="1"/>
        <v>1000</v>
      </c>
      <c r="M9" s="3" t="str">
        <f t="shared" si="2"/>
        <v>Over</v>
      </c>
      <c r="N9" s="5">
        <f t="shared" si="3"/>
        <v>4312.5</v>
      </c>
      <c r="O9" s="3" t="str">
        <f t="shared" si="4"/>
        <v>Over Budget</v>
      </c>
    </row>
    <row r="10" spans="1:19" x14ac:dyDescent="0.3">
      <c r="A10" s="2" t="s">
        <v>35</v>
      </c>
      <c r="B10" s="2" t="s">
        <v>36</v>
      </c>
      <c r="C10" s="2" t="s">
        <v>37</v>
      </c>
      <c r="D10" s="2">
        <v>4</v>
      </c>
      <c r="E10" s="2">
        <v>4500</v>
      </c>
      <c r="F10" s="2">
        <v>5500</v>
      </c>
      <c r="G10" s="2">
        <v>3000</v>
      </c>
      <c r="H10" s="2">
        <v>1500</v>
      </c>
      <c r="I10" s="2">
        <v>800</v>
      </c>
      <c r="J10" s="2">
        <f t="shared" si="0"/>
        <v>15300</v>
      </c>
      <c r="K10" s="2">
        <v>14200</v>
      </c>
      <c r="L10" s="3">
        <f t="shared" si="1"/>
        <v>-1100</v>
      </c>
      <c r="M10" s="3" t="str">
        <f t="shared" si="2"/>
        <v>Under</v>
      </c>
      <c r="N10" s="5">
        <f t="shared" si="3"/>
        <v>3550</v>
      </c>
      <c r="O10" s="3" t="str">
        <f t="shared" si="4"/>
        <v>Under Budget</v>
      </c>
      <c r="R10" s="3" t="s">
        <v>105</v>
      </c>
      <c r="S10" s="3" t="s">
        <v>106</v>
      </c>
    </row>
    <row r="11" spans="1:19" x14ac:dyDescent="0.3">
      <c r="A11" s="2" t="s">
        <v>38</v>
      </c>
      <c r="B11" s="2" t="s">
        <v>39</v>
      </c>
      <c r="C11" s="2" t="s">
        <v>40</v>
      </c>
      <c r="D11" s="2">
        <v>5</v>
      </c>
      <c r="E11" s="2">
        <v>4000</v>
      </c>
      <c r="F11" s="2">
        <v>7000</v>
      </c>
      <c r="G11" s="2">
        <v>3500</v>
      </c>
      <c r="H11" s="2">
        <v>1800</v>
      </c>
      <c r="I11" s="2">
        <v>600</v>
      </c>
      <c r="J11" s="2">
        <f t="shared" si="0"/>
        <v>16900</v>
      </c>
      <c r="K11" s="2">
        <v>16900</v>
      </c>
      <c r="L11" s="3">
        <f t="shared" si="1"/>
        <v>0</v>
      </c>
      <c r="M11" s="3" t="str">
        <f t="shared" si="2"/>
        <v>Equal</v>
      </c>
      <c r="N11" s="5">
        <f t="shared" si="3"/>
        <v>3380</v>
      </c>
      <c r="O11" s="3" t="str">
        <f t="shared" si="4"/>
        <v>Under Budget</v>
      </c>
      <c r="R11" s="3" t="str">
        <f>INDEX(A2:O31,MATCH(MAX(K1:K31),K1:K31,0),3)</f>
        <v>Goa</v>
      </c>
      <c r="S11" s="3" t="str">
        <f>INDEX(A2:O31,MATCH(MIN(K1:K31),K1:K31,0),3)</f>
        <v>Pondicherry</v>
      </c>
    </row>
    <row r="12" spans="1:19" x14ac:dyDescent="0.3">
      <c r="A12" s="2" t="s">
        <v>41</v>
      </c>
      <c r="B12" s="2" t="s">
        <v>42</v>
      </c>
      <c r="C12" s="2" t="s">
        <v>43</v>
      </c>
      <c r="D12" s="2">
        <v>4</v>
      </c>
      <c r="E12" s="2">
        <v>5000</v>
      </c>
      <c r="F12" s="2">
        <v>7500</v>
      </c>
      <c r="G12" s="2">
        <v>3000</v>
      </c>
      <c r="H12" s="2">
        <v>2000</v>
      </c>
      <c r="I12" s="2">
        <v>900</v>
      </c>
      <c r="J12" s="2">
        <f t="shared" si="0"/>
        <v>18400</v>
      </c>
      <c r="K12" s="2">
        <v>18700</v>
      </c>
      <c r="L12" s="3">
        <f t="shared" si="1"/>
        <v>300</v>
      </c>
      <c r="M12" s="3" t="str">
        <f t="shared" si="2"/>
        <v>Over</v>
      </c>
      <c r="N12" s="5">
        <f t="shared" si="3"/>
        <v>4675</v>
      </c>
      <c r="O12" s="3" t="str">
        <f t="shared" si="4"/>
        <v>Over Budget</v>
      </c>
    </row>
    <row r="13" spans="1:19" x14ac:dyDescent="0.3">
      <c r="A13" s="2" t="s">
        <v>44</v>
      </c>
      <c r="B13" s="2" t="s">
        <v>45</v>
      </c>
      <c r="C13" s="2" t="s">
        <v>46</v>
      </c>
      <c r="D13" s="2">
        <v>3</v>
      </c>
      <c r="E13" s="2">
        <v>4500</v>
      </c>
      <c r="F13" s="2">
        <v>6500</v>
      </c>
      <c r="G13" s="2">
        <v>2500</v>
      </c>
      <c r="H13" s="2">
        <v>1200</v>
      </c>
      <c r="I13" s="2">
        <v>600</v>
      </c>
      <c r="J13" s="2">
        <f t="shared" si="0"/>
        <v>15300</v>
      </c>
      <c r="K13" s="2">
        <v>14500</v>
      </c>
      <c r="L13" s="3">
        <f t="shared" si="1"/>
        <v>-800</v>
      </c>
      <c r="M13" s="3" t="str">
        <f t="shared" si="2"/>
        <v>Under</v>
      </c>
      <c r="N13" s="5">
        <f t="shared" si="3"/>
        <v>4833.333333333333</v>
      </c>
      <c r="O13" s="3" t="str">
        <f t="shared" si="4"/>
        <v>Under Budget</v>
      </c>
    </row>
    <row r="14" spans="1:19" x14ac:dyDescent="0.3">
      <c r="A14" s="2" t="s">
        <v>47</v>
      </c>
      <c r="B14" s="2" t="s">
        <v>48</v>
      </c>
      <c r="C14" s="2" t="s">
        <v>49</v>
      </c>
      <c r="D14" s="2">
        <v>2</v>
      </c>
      <c r="E14" s="2">
        <v>2500</v>
      </c>
      <c r="F14" s="2">
        <v>4000</v>
      </c>
      <c r="G14" s="2">
        <v>2000</v>
      </c>
      <c r="H14" s="2">
        <v>1000</v>
      </c>
      <c r="I14" s="2">
        <v>300</v>
      </c>
      <c r="J14" s="2">
        <f t="shared" si="0"/>
        <v>9800</v>
      </c>
      <c r="K14" s="2">
        <v>9400</v>
      </c>
      <c r="L14" s="3">
        <f t="shared" si="1"/>
        <v>-400</v>
      </c>
      <c r="M14" s="3" t="str">
        <f t="shared" si="2"/>
        <v>Under</v>
      </c>
      <c r="N14" s="5">
        <f t="shared" si="3"/>
        <v>4700</v>
      </c>
      <c r="O14" s="3" t="str">
        <f t="shared" si="4"/>
        <v>Under Budget</v>
      </c>
    </row>
    <row r="15" spans="1:19" x14ac:dyDescent="0.3">
      <c r="A15" s="2" t="s">
        <v>50</v>
      </c>
      <c r="B15" s="2" t="s">
        <v>51</v>
      </c>
      <c r="C15" s="2" t="s">
        <v>52</v>
      </c>
      <c r="D15" s="2">
        <v>4</v>
      </c>
      <c r="E15" s="2">
        <v>4800</v>
      </c>
      <c r="F15" s="2">
        <v>7000</v>
      </c>
      <c r="G15" s="2">
        <v>3000</v>
      </c>
      <c r="H15" s="2">
        <v>1500</v>
      </c>
      <c r="I15" s="2">
        <v>700</v>
      </c>
      <c r="J15" s="2">
        <f t="shared" si="0"/>
        <v>17000</v>
      </c>
      <c r="K15" s="2">
        <v>17500</v>
      </c>
      <c r="L15" s="3">
        <f t="shared" si="1"/>
        <v>500</v>
      </c>
      <c r="M15" s="3" t="str">
        <f t="shared" si="2"/>
        <v>Over</v>
      </c>
      <c r="N15" s="5">
        <f t="shared" si="3"/>
        <v>4375</v>
      </c>
      <c r="O15" s="3" t="str">
        <f t="shared" si="4"/>
        <v>Over Budget</v>
      </c>
    </row>
    <row r="16" spans="1:19" x14ac:dyDescent="0.3">
      <c r="A16" s="2" t="s">
        <v>53</v>
      </c>
      <c r="B16" s="2" t="s">
        <v>54</v>
      </c>
      <c r="C16" s="2" t="s">
        <v>28</v>
      </c>
      <c r="D16" s="2">
        <v>3</v>
      </c>
      <c r="E16" s="2">
        <v>2000</v>
      </c>
      <c r="F16" s="2">
        <v>5500</v>
      </c>
      <c r="G16" s="2">
        <v>2500</v>
      </c>
      <c r="H16" s="2">
        <v>1000</v>
      </c>
      <c r="I16" s="2">
        <v>400</v>
      </c>
      <c r="J16" s="2">
        <f t="shared" si="0"/>
        <v>11400</v>
      </c>
      <c r="K16" s="2">
        <v>10800</v>
      </c>
      <c r="L16" s="3">
        <f t="shared" si="1"/>
        <v>-600</v>
      </c>
      <c r="M16" s="3" t="str">
        <f t="shared" si="2"/>
        <v>Under</v>
      </c>
      <c r="N16" s="5">
        <f t="shared" si="3"/>
        <v>3600</v>
      </c>
      <c r="O16" s="3" t="str">
        <f t="shared" si="4"/>
        <v>Under Budget</v>
      </c>
    </row>
    <row r="17" spans="1:15" x14ac:dyDescent="0.3">
      <c r="A17" s="2" t="s">
        <v>55</v>
      </c>
      <c r="B17" s="2" t="s">
        <v>56</v>
      </c>
      <c r="C17" s="2" t="s">
        <v>57</v>
      </c>
      <c r="D17" s="2">
        <v>8</v>
      </c>
      <c r="E17" s="2">
        <v>11000</v>
      </c>
      <c r="F17" s="2">
        <v>16000</v>
      </c>
      <c r="G17" s="2">
        <v>6000</v>
      </c>
      <c r="H17" s="2">
        <v>5000</v>
      </c>
      <c r="I17" s="2">
        <v>2000</v>
      </c>
      <c r="J17" s="2">
        <f t="shared" si="0"/>
        <v>40000</v>
      </c>
      <c r="K17" s="2">
        <v>38500</v>
      </c>
      <c r="L17" s="3">
        <f t="shared" si="1"/>
        <v>-1500</v>
      </c>
      <c r="M17" s="3" t="str">
        <f t="shared" si="2"/>
        <v>Under</v>
      </c>
      <c r="N17" s="5">
        <f t="shared" si="3"/>
        <v>4812.5</v>
      </c>
      <c r="O17" s="3" t="str">
        <f t="shared" si="4"/>
        <v>Under Budget</v>
      </c>
    </row>
    <row r="18" spans="1:15" x14ac:dyDescent="0.3">
      <c r="A18" s="2" t="s">
        <v>58</v>
      </c>
      <c r="B18" s="2" t="s">
        <v>59</v>
      </c>
      <c r="C18" s="2" t="s">
        <v>13</v>
      </c>
      <c r="D18" s="2">
        <v>6</v>
      </c>
      <c r="E18" s="2">
        <v>6500</v>
      </c>
      <c r="F18" s="2">
        <v>9000</v>
      </c>
      <c r="G18" s="2">
        <v>4500</v>
      </c>
      <c r="H18" s="2">
        <v>2500</v>
      </c>
      <c r="I18" s="2">
        <v>800</v>
      </c>
      <c r="J18" s="2">
        <f t="shared" si="0"/>
        <v>23300</v>
      </c>
      <c r="K18" s="2">
        <v>23800</v>
      </c>
      <c r="L18" s="3">
        <f t="shared" si="1"/>
        <v>500</v>
      </c>
      <c r="M18" s="3" t="str">
        <f t="shared" si="2"/>
        <v>Over</v>
      </c>
      <c r="N18" s="5">
        <f t="shared" si="3"/>
        <v>3966.6666666666665</v>
      </c>
      <c r="O18" s="3" t="str">
        <f t="shared" si="4"/>
        <v>Over Budget</v>
      </c>
    </row>
    <row r="19" spans="1:15" x14ac:dyDescent="0.3">
      <c r="A19" s="2" t="s">
        <v>60</v>
      </c>
      <c r="B19" s="2" t="s">
        <v>61</v>
      </c>
      <c r="C19" s="2" t="s">
        <v>62</v>
      </c>
      <c r="D19" s="2">
        <v>7</v>
      </c>
      <c r="E19" s="2">
        <v>10000</v>
      </c>
      <c r="F19" s="2">
        <v>14000</v>
      </c>
      <c r="G19" s="2">
        <v>6000</v>
      </c>
      <c r="H19" s="2">
        <v>4500</v>
      </c>
      <c r="I19" s="2">
        <v>1800</v>
      </c>
      <c r="J19" s="2">
        <f t="shared" si="0"/>
        <v>36300</v>
      </c>
      <c r="K19" s="2">
        <v>34800</v>
      </c>
      <c r="L19" s="3">
        <f t="shared" si="1"/>
        <v>-1500</v>
      </c>
      <c r="M19" s="3" t="str">
        <f t="shared" si="2"/>
        <v>Under</v>
      </c>
      <c r="N19" s="5">
        <f t="shared" si="3"/>
        <v>4971.4285714285716</v>
      </c>
      <c r="O19" s="3" t="str">
        <f t="shared" si="4"/>
        <v>Under Budget</v>
      </c>
    </row>
    <row r="20" spans="1:15" x14ac:dyDescent="0.3">
      <c r="A20" s="2" t="s">
        <v>63</v>
      </c>
      <c r="B20" s="2" t="s">
        <v>64</v>
      </c>
      <c r="C20" s="2" t="s">
        <v>65</v>
      </c>
      <c r="D20" s="2">
        <v>3</v>
      </c>
      <c r="E20" s="2">
        <v>2500</v>
      </c>
      <c r="F20" s="2">
        <v>5000</v>
      </c>
      <c r="G20" s="2">
        <v>2200</v>
      </c>
      <c r="H20" s="2">
        <v>1200</v>
      </c>
      <c r="I20" s="2">
        <v>500</v>
      </c>
      <c r="J20" s="2">
        <f t="shared" si="0"/>
        <v>11400</v>
      </c>
      <c r="K20" s="2">
        <v>11800</v>
      </c>
      <c r="L20" s="3">
        <f t="shared" si="1"/>
        <v>400</v>
      </c>
      <c r="M20" s="3" t="str">
        <f t="shared" si="2"/>
        <v>Over</v>
      </c>
      <c r="N20" s="5">
        <f t="shared" si="3"/>
        <v>3933.3333333333335</v>
      </c>
      <c r="O20" s="3" t="str">
        <f t="shared" si="4"/>
        <v>Over Budget</v>
      </c>
    </row>
    <row r="21" spans="1:15" x14ac:dyDescent="0.3">
      <c r="A21" s="2" t="s">
        <v>66</v>
      </c>
      <c r="B21" s="2" t="s">
        <v>67</v>
      </c>
      <c r="C21" s="2" t="s">
        <v>19</v>
      </c>
      <c r="D21" s="2">
        <v>2</v>
      </c>
      <c r="E21" s="2">
        <v>1800</v>
      </c>
      <c r="F21" s="2">
        <v>3500</v>
      </c>
      <c r="G21" s="2">
        <v>1500</v>
      </c>
      <c r="H21" s="2">
        <v>1000</v>
      </c>
      <c r="I21" s="2">
        <v>200</v>
      </c>
      <c r="J21" s="2">
        <f t="shared" si="0"/>
        <v>8000</v>
      </c>
      <c r="K21" s="2">
        <v>7800</v>
      </c>
      <c r="L21" s="3">
        <f t="shared" si="1"/>
        <v>-200</v>
      </c>
      <c r="M21" s="3" t="str">
        <f t="shared" si="2"/>
        <v>Under</v>
      </c>
      <c r="N21" s="5">
        <f t="shared" si="3"/>
        <v>3900</v>
      </c>
      <c r="O21" s="3" t="str">
        <f t="shared" si="4"/>
        <v>Under Budget</v>
      </c>
    </row>
    <row r="22" spans="1:15" x14ac:dyDescent="0.3">
      <c r="A22" s="2" t="s">
        <v>68</v>
      </c>
      <c r="B22" s="2" t="s">
        <v>69</v>
      </c>
      <c r="C22" s="2" t="s">
        <v>70</v>
      </c>
      <c r="D22" s="2">
        <v>5</v>
      </c>
      <c r="E22" s="2">
        <v>5500</v>
      </c>
      <c r="F22" s="2">
        <v>7500</v>
      </c>
      <c r="G22" s="2">
        <v>3500</v>
      </c>
      <c r="H22" s="2">
        <v>2200</v>
      </c>
      <c r="I22" s="2">
        <v>800</v>
      </c>
      <c r="J22" s="2">
        <f t="shared" si="0"/>
        <v>19500</v>
      </c>
      <c r="K22" s="2">
        <v>19800</v>
      </c>
      <c r="L22" s="3">
        <f t="shared" si="1"/>
        <v>300</v>
      </c>
      <c r="M22" s="3" t="str">
        <f t="shared" si="2"/>
        <v>Over</v>
      </c>
      <c r="N22" s="5">
        <f t="shared" si="3"/>
        <v>3960</v>
      </c>
      <c r="O22" s="3" t="str">
        <f t="shared" si="4"/>
        <v>Over Budget</v>
      </c>
    </row>
    <row r="23" spans="1:15" x14ac:dyDescent="0.3">
      <c r="A23" s="2" t="s">
        <v>71</v>
      </c>
      <c r="B23" s="2" t="s">
        <v>72</v>
      </c>
      <c r="C23" s="2" t="s">
        <v>73</v>
      </c>
      <c r="D23" s="2">
        <v>2</v>
      </c>
      <c r="E23" s="2">
        <v>2200</v>
      </c>
      <c r="F23" s="2">
        <v>3000</v>
      </c>
      <c r="G23" s="2">
        <v>1500</v>
      </c>
      <c r="H23" s="2">
        <v>800</v>
      </c>
      <c r="I23" s="2">
        <v>300</v>
      </c>
      <c r="J23" s="2">
        <f t="shared" si="0"/>
        <v>7800</v>
      </c>
      <c r="K23" s="2">
        <v>7600</v>
      </c>
      <c r="L23" s="3">
        <f t="shared" si="1"/>
        <v>-200</v>
      </c>
      <c r="M23" s="3" t="str">
        <f t="shared" si="2"/>
        <v>Under</v>
      </c>
      <c r="N23" s="5">
        <f t="shared" si="3"/>
        <v>3800</v>
      </c>
      <c r="O23" s="3" t="str">
        <f t="shared" si="4"/>
        <v>Under Budget</v>
      </c>
    </row>
    <row r="24" spans="1:15" x14ac:dyDescent="0.3">
      <c r="A24" s="2" t="s">
        <v>74</v>
      </c>
      <c r="B24" s="2" t="s">
        <v>75</v>
      </c>
      <c r="C24" s="2" t="s">
        <v>76</v>
      </c>
      <c r="D24" s="2">
        <v>4</v>
      </c>
      <c r="E24" s="2">
        <v>4500</v>
      </c>
      <c r="F24" s="2">
        <v>7000</v>
      </c>
      <c r="G24" s="2">
        <v>3200</v>
      </c>
      <c r="H24" s="2">
        <v>2000</v>
      </c>
      <c r="I24" s="2">
        <v>700</v>
      </c>
      <c r="J24" s="2">
        <f t="shared" si="0"/>
        <v>17400</v>
      </c>
      <c r="K24" s="2">
        <v>17200</v>
      </c>
      <c r="L24" s="3">
        <f t="shared" si="1"/>
        <v>-200</v>
      </c>
      <c r="M24" s="3" t="str">
        <f t="shared" si="2"/>
        <v>Under</v>
      </c>
      <c r="N24" s="5">
        <f t="shared" si="3"/>
        <v>4300</v>
      </c>
      <c r="O24" s="3" t="str">
        <f t="shared" si="4"/>
        <v>Under Budget</v>
      </c>
    </row>
    <row r="25" spans="1:15" x14ac:dyDescent="0.3">
      <c r="A25" s="2" t="s">
        <v>77</v>
      </c>
      <c r="B25" s="2" t="s">
        <v>78</v>
      </c>
      <c r="C25" s="2" t="s">
        <v>79</v>
      </c>
      <c r="D25" s="2">
        <v>6</v>
      </c>
      <c r="E25" s="2">
        <v>8500</v>
      </c>
      <c r="F25" s="2">
        <v>11000</v>
      </c>
      <c r="G25" s="2">
        <v>5000</v>
      </c>
      <c r="H25" s="2">
        <v>3500</v>
      </c>
      <c r="I25" s="2">
        <v>1500</v>
      </c>
      <c r="J25" s="2">
        <f t="shared" si="0"/>
        <v>29500</v>
      </c>
      <c r="K25" s="2">
        <v>28800</v>
      </c>
      <c r="L25" s="3">
        <f t="shared" si="1"/>
        <v>-700</v>
      </c>
      <c r="M25" s="3" t="str">
        <f t="shared" si="2"/>
        <v>Under</v>
      </c>
      <c r="N25" s="5">
        <f t="shared" si="3"/>
        <v>4800</v>
      </c>
      <c r="O25" s="3" t="str">
        <f t="shared" si="4"/>
        <v>Under Budget</v>
      </c>
    </row>
    <row r="26" spans="1:15" x14ac:dyDescent="0.3">
      <c r="A26" s="2" t="s">
        <v>80</v>
      </c>
      <c r="B26" s="2" t="s">
        <v>81</v>
      </c>
      <c r="C26" s="2" t="s">
        <v>82</v>
      </c>
      <c r="D26" s="2">
        <v>3</v>
      </c>
      <c r="E26" s="2">
        <v>4000</v>
      </c>
      <c r="F26" s="2">
        <v>5000</v>
      </c>
      <c r="G26" s="2">
        <v>2500</v>
      </c>
      <c r="H26" s="2">
        <v>1500</v>
      </c>
      <c r="I26" s="2">
        <v>600</v>
      </c>
      <c r="J26" s="2">
        <f t="shared" si="0"/>
        <v>13600</v>
      </c>
      <c r="K26" s="2">
        <v>13200</v>
      </c>
      <c r="L26" s="3">
        <f t="shared" si="1"/>
        <v>-400</v>
      </c>
      <c r="M26" s="3" t="str">
        <f t="shared" si="2"/>
        <v>Under</v>
      </c>
      <c r="N26" s="5">
        <f t="shared" si="3"/>
        <v>4400</v>
      </c>
      <c r="O26" s="3" t="str">
        <f t="shared" si="4"/>
        <v>Under Budget</v>
      </c>
    </row>
    <row r="27" spans="1:15" x14ac:dyDescent="0.3">
      <c r="A27" s="2" t="s">
        <v>83</v>
      </c>
      <c r="B27" s="2" t="s">
        <v>84</v>
      </c>
      <c r="C27" s="2" t="s">
        <v>85</v>
      </c>
      <c r="D27" s="2">
        <v>5</v>
      </c>
      <c r="E27" s="2">
        <v>6000</v>
      </c>
      <c r="F27" s="2">
        <v>8500</v>
      </c>
      <c r="G27" s="2">
        <v>4000</v>
      </c>
      <c r="H27" s="2">
        <v>2500</v>
      </c>
      <c r="I27" s="2">
        <v>900</v>
      </c>
      <c r="J27" s="2">
        <f t="shared" si="0"/>
        <v>21900</v>
      </c>
      <c r="K27" s="2">
        <v>21400</v>
      </c>
      <c r="L27" s="3">
        <f t="shared" si="1"/>
        <v>-500</v>
      </c>
      <c r="M27" s="3" t="str">
        <f t="shared" si="2"/>
        <v>Under</v>
      </c>
      <c r="N27" s="5">
        <f t="shared" si="3"/>
        <v>4280</v>
      </c>
      <c r="O27" s="3" t="str">
        <f t="shared" si="4"/>
        <v>Under Budget</v>
      </c>
    </row>
    <row r="28" spans="1:15" x14ac:dyDescent="0.3">
      <c r="A28" s="2" t="s">
        <v>86</v>
      </c>
      <c r="B28" s="2" t="s">
        <v>87</v>
      </c>
      <c r="C28" s="2" t="s">
        <v>88</v>
      </c>
      <c r="D28" s="2">
        <v>4</v>
      </c>
      <c r="E28" s="2">
        <v>5000</v>
      </c>
      <c r="F28" s="2">
        <v>7500</v>
      </c>
      <c r="G28" s="2">
        <v>3000</v>
      </c>
      <c r="H28" s="2">
        <v>2000</v>
      </c>
      <c r="I28" s="2">
        <v>800</v>
      </c>
      <c r="J28" s="2">
        <f t="shared" si="0"/>
        <v>18300</v>
      </c>
      <c r="K28" s="2">
        <v>18000</v>
      </c>
      <c r="L28" s="3">
        <f t="shared" si="1"/>
        <v>-300</v>
      </c>
      <c r="M28" s="3" t="str">
        <f t="shared" si="2"/>
        <v>Under</v>
      </c>
      <c r="N28" s="5">
        <f t="shared" si="3"/>
        <v>4500</v>
      </c>
      <c r="O28" s="3" t="str">
        <f t="shared" si="4"/>
        <v>Under Budget</v>
      </c>
    </row>
    <row r="29" spans="1:15" x14ac:dyDescent="0.3">
      <c r="A29" s="2" t="s">
        <v>89</v>
      </c>
      <c r="B29" s="2" t="s">
        <v>90</v>
      </c>
      <c r="C29" s="2" t="s">
        <v>22</v>
      </c>
      <c r="D29" s="2">
        <v>4</v>
      </c>
      <c r="E29" s="2">
        <v>4200</v>
      </c>
      <c r="F29" s="2">
        <v>6500</v>
      </c>
      <c r="G29" s="2">
        <v>3000</v>
      </c>
      <c r="H29" s="2">
        <v>1800</v>
      </c>
      <c r="I29" s="2">
        <v>600</v>
      </c>
      <c r="J29" s="2">
        <f t="shared" si="0"/>
        <v>16100</v>
      </c>
      <c r="K29" s="2">
        <v>15800</v>
      </c>
      <c r="L29" s="3">
        <f t="shared" si="1"/>
        <v>-300</v>
      </c>
      <c r="M29" s="3" t="str">
        <f t="shared" si="2"/>
        <v>Under</v>
      </c>
      <c r="N29" s="5">
        <f t="shared" si="3"/>
        <v>3950</v>
      </c>
      <c r="O29" s="3" t="str">
        <f t="shared" si="4"/>
        <v>Under Budget</v>
      </c>
    </row>
    <row r="30" spans="1:15" x14ac:dyDescent="0.3">
      <c r="A30" s="2" t="s">
        <v>91</v>
      </c>
      <c r="B30" s="2" t="s">
        <v>92</v>
      </c>
      <c r="C30" s="2" t="s">
        <v>93</v>
      </c>
      <c r="D30" s="2">
        <v>3</v>
      </c>
      <c r="E30" s="2">
        <v>3500</v>
      </c>
      <c r="F30" s="2">
        <v>5500</v>
      </c>
      <c r="G30" s="2">
        <v>2500</v>
      </c>
      <c r="H30" s="2">
        <v>1200</v>
      </c>
      <c r="I30" s="2">
        <v>400</v>
      </c>
      <c r="J30" s="2">
        <f t="shared" si="0"/>
        <v>13100</v>
      </c>
      <c r="K30" s="2">
        <v>12900</v>
      </c>
      <c r="L30" s="3">
        <f t="shared" si="1"/>
        <v>-200</v>
      </c>
      <c r="M30" s="3" t="str">
        <f t="shared" si="2"/>
        <v>Under</v>
      </c>
      <c r="N30" s="5">
        <f t="shared" si="3"/>
        <v>4300</v>
      </c>
      <c r="O30" s="3" t="str">
        <f t="shared" si="4"/>
        <v>Under Budget</v>
      </c>
    </row>
    <row r="31" spans="1:15" x14ac:dyDescent="0.3">
      <c r="A31" s="2" t="s">
        <v>94</v>
      </c>
      <c r="B31" s="2" t="s">
        <v>95</v>
      </c>
      <c r="C31" s="2" t="s">
        <v>96</v>
      </c>
      <c r="D31" s="2">
        <v>2</v>
      </c>
      <c r="E31" s="2">
        <v>2000</v>
      </c>
      <c r="F31" s="2">
        <v>3500</v>
      </c>
      <c r="G31" s="2">
        <v>1800</v>
      </c>
      <c r="H31" s="2">
        <v>900</v>
      </c>
      <c r="I31" s="2">
        <v>300</v>
      </c>
      <c r="J31" s="2">
        <f t="shared" si="0"/>
        <v>8500</v>
      </c>
      <c r="K31" s="2">
        <v>8400</v>
      </c>
      <c r="L31" s="3">
        <f t="shared" si="1"/>
        <v>-100</v>
      </c>
      <c r="M31" s="3" t="str">
        <f t="shared" si="2"/>
        <v>Under</v>
      </c>
      <c r="N31" s="5">
        <f t="shared" si="3"/>
        <v>4200</v>
      </c>
      <c r="O31" s="3" t="str">
        <f t="shared" si="4"/>
        <v>Under Budget</v>
      </c>
    </row>
  </sheetData>
  <pageMargins left="0.7" right="0.7" top="0.75" bottom="0.75" header="0.3" footer="0.3"/>
  <ignoredErrors>
    <ignoredError sqref="J2:J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Travel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2025-10-26T11:54:46Z</dcterms:modified>
</cp:coreProperties>
</file>