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62D8EDDF-D466-48B2-97CB-632332BD9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B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9" i="1"/>
  <c r="R5" i="1"/>
  <c r="R6" i="1"/>
  <c r="R7" i="1"/>
  <c r="R4" i="1"/>
  <c r="O5" i="1"/>
  <c r="N5" i="1"/>
  <c r="M5" i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H32" i="1" s="1"/>
  <c r="I32" i="1" s="1"/>
  <c r="G33" i="1"/>
  <c r="H33" i="1" s="1"/>
  <c r="I33" i="1" s="1"/>
  <c r="G34" i="1"/>
  <c r="H34" i="1" s="1"/>
  <c r="I34" i="1" s="1"/>
  <c r="G35" i="1"/>
  <c r="H35" i="1" s="1"/>
  <c r="I35" i="1" s="1"/>
  <c r="G36" i="1"/>
  <c r="H36" i="1" s="1"/>
  <c r="I36" i="1" s="1"/>
  <c r="G37" i="1"/>
  <c r="H37" i="1" s="1"/>
  <c r="I37" i="1" s="1"/>
  <c r="G38" i="1"/>
  <c r="H38" i="1" s="1"/>
  <c r="I38" i="1" s="1"/>
  <c r="G39" i="1"/>
  <c r="H39" i="1" s="1"/>
  <c r="I39" i="1" s="1"/>
  <c r="G40" i="1"/>
  <c r="H40" i="1" s="1"/>
  <c r="I40" i="1" s="1"/>
  <c r="G41" i="1"/>
  <c r="H41" i="1" s="1"/>
  <c r="I41" i="1" s="1"/>
  <c r="G2" i="1"/>
  <c r="H2" i="1" s="1"/>
  <c r="I2" i="1" s="1"/>
</calcChain>
</file>

<file path=xl/sharedStrings.xml><?xml version="1.0" encoding="utf-8"?>
<sst xmlns="http://schemas.openxmlformats.org/spreadsheetml/2006/main" count="102" uniqueCount="61">
  <si>
    <t>ID</t>
  </si>
  <si>
    <t>Name</t>
  </si>
  <si>
    <t>Gender</t>
  </si>
  <si>
    <t>Age</t>
  </si>
  <si>
    <t>Height (cm)</t>
  </si>
  <si>
    <t>Weight (kg)</t>
  </si>
  <si>
    <t>BMI</t>
  </si>
  <si>
    <t>BMI Category</t>
  </si>
  <si>
    <t>Saurabh</t>
  </si>
  <si>
    <t>Male</t>
  </si>
  <si>
    <t>Sakshi</t>
  </si>
  <si>
    <t>Female</t>
  </si>
  <si>
    <t>Aarav</t>
  </si>
  <si>
    <t>Neha</t>
  </si>
  <si>
    <t>Raj</t>
  </si>
  <si>
    <t>Sneha</t>
  </si>
  <si>
    <t>Aditya</t>
  </si>
  <si>
    <t>Divya</t>
  </si>
  <si>
    <t>Rohan</t>
  </si>
  <si>
    <t>Isha</t>
  </si>
  <si>
    <t>Nikhil</t>
  </si>
  <si>
    <t>Tanvi</t>
  </si>
  <si>
    <t>Om</t>
  </si>
  <si>
    <t>Meena</t>
  </si>
  <si>
    <t>Arjun</t>
  </si>
  <si>
    <t>Pooja</t>
  </si>
  <si>
    <t>Rahul</t>
  </si>
  <si>
    <t>Nidhi</t>
  </si>
  <si>
    <t>Gaurav</t>
  </si>
  <si>
    <t>Aisha</t>
  </si>
  <si>
    <t>Ishaan</t>
  </si>
  <si>
    <t>Reema</t>
  </si>
  <si>
    <t>Karan</t>
  </si>
  <si>
    <t>Simran</t>
  </si>
  <si>
    <t>Kabir</t>
  </si>
  <si>
    <t>Snehal</t>
  </si>
  <si>
    <t>Manav</t>
  </si>
  <si>
    <t>Nisha</t>
  </si>
  <si>
    <t>Krish</t>
  </si>
  <si>
    <t>Priya</t>
  </si>
  <si>
    <t>Ritesh</t>
  </si>
  <si>
    <t>Alisha</t>
  </si>
  <si>
    <t>Aman</t>
  </si>
  <si>
    <t>Kirti</t>
  </si>
  <si>
    <t>Parth</t>
  </si>
  <si>
    <t>Diya</t>
  </si>
  <si>
    <t>Hriday</t>
  </si>
  <si>
    <t>Tia</t>
  </si>
  <si>
    <t>Veer</t>
  </si>
  <si>
    <t>Riya</t>
  </si>
  <si>
    <t>Height(meters)</t>
  </si>
  <si>
    <t>Average BMI</t>
  </si>
  <si>
    <t>Min BMI</t>
  </si>
  <si>
    <t>Max BMI</t>
  </si>
  <si>
    <t>Normal</t>
  </si>
  <si>
    <t>Overweight</t>
  </si>
  <si>
    <t>Underweight</t>
  </si>
  <si>
    <t>Category</t>
  </si>
  <si>
    <t>Count</t>
  </si>
  <si>
    <t>Obsese</t>
  </si>
  <si>
    <t>AVG 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</si>
</sst>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N16" sqref="N16"/>
    </sheetView>
  </sheetViews>
  <sheetFormatPr defaultRowHeight="14.4" x14ac:dyDescent="0.3"/>
  <cols>
    <col min="1" max="1" width="3" bestFit="1" customWidth="1"/>
    <col min="2" max="2" width="7.5546875" bestFit="1" customWidth="1"/>
    <col min="3" max="3" width="7.109375" bestFit="1" customWidth="1"/>
    <col min="4" max="4" width="4.21875" bestFit="1" customWidth="1"/>
    <col min="5" max="6" width="10.77734375" bestFit="1" customWidth="1"/>
    <col min="7" max="7" width="13.6640625" bestFit="1" customWidth="1"/>
    <col min="8" max="8" width="12" bestFit="1" customWidth="1"/>
    <col min="9" max="9" width="12.44140625" bestFit="1" customWidth="1"/>
    <col min="13" max="13" width="11.33203125" bestFit="1" customWidth="1"/>
    <col min="17" max="17" width="11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6</v>
      </c>
      <c r="I1" s="1" t="s">
        <v>7</v>
      </c>
    </row>
    <row r="2" spans="1:18" x14ac:dyDescent="0.3">
      <c r="A2" s="2">
        <v>1</v>
      </c>
      <c r="B2" s="2" t="s">
        <v>8</v>
      </c>
      <c r="C2" s="2" t="s">
        <v>9</v>
      </c>
      <c r="D2" s="2">
        <v>22</v>
      </c>
      <c r="E2" s="2">
        <v>175</v>
      </c>
      <c r="F2" s="2">
        <v>68</v>
      </c>
      <c r="G2" s="2">
        <f>E2/100</f>
        <v>1.75</v>
      </c>
      <c r="H2" s="3">
        <f>ROUND(F2/(G2^2),1)</f>
        <v>22.2</v>
      </c>
      <c r="I2" s="3" t="str">
        <f>IF(H2&lt;18.5,"Underweight",IF(H2&lt;24.9,"Normal",IF(H2&lt;29.9,"Overweight","Obese")))</f>
        <v>Normal</v>
      </c>
    </row>
    <row r="3" spans="1:18" x14ac:dyDescent="0.3">
      <c r="A3" s="2">
        <v>2</v>
      </c>
      <c r="B3" s="2" t="s">
        <v>10</v>
      </c>
      <c r="C3" s="2" t="s">
        <v>11</v>
      </c>
      <c r="D3" s="2">
        <v>21</v>
      </c>
      <c r="E3" s="2">
        <v>162</v>
      </c>
      <c r="F3" s="2">
        <v>55</v>
      </c>
      <c r="G3" s="2">
        <f t="shared" ref="G3:G41" si="0">E3/100</f>
        <v>1.62</v>
      </c>
      <c r="H3" s="3">
        <f t="shared" ref="H3:H41" si="1">ROUND(F3/(G3^2),1)</f>
        <v>21</v>
      </c>
      <c r="I3" s="3" t="str">
        <f t="shared" ref="I3:I41" si="2">IF(H3&lt;18.5,"Underweight",IF(H3&lt;24.9,"Normal",IF(H3&lt;29.9,"Overweight","Obese")))</f>
        <v>Normal</v>
      </c>
      <c r="Q3" s="4" t="s">
        <v>57</v>
      </c>
      <c r="R3" s="4" t="s">
        <v>58</v>
      </c>
    </row>
    <row r="4" spans="1:18" x14ac:dyDescent="0.3">
      <c r="A4" s="2">
        <v>3</v>
      </c>
      <c r="B4" s="2" t="s">
        <v>12</v>
      </c>
      <c r="C4" s="2" t="s">
        <v>9</v>
      </c>
      <c r="D4" s="2">
        <v>25</v>
      </c>
      <c r="E4" s="2">
        <v>180</v>
      </c>
      <c r="F4" s="2">
        <v>78</v>
      </c>
      <c r="G4" s="2">
        <f t="shared" si="0"/>
        <v>1.8</v>
      </c>
      <c r="H4" s="3">
        <f t="shared" si="1"/>
        <v>24.1</v>
      </c>
      <c r="I4" s="3" t="str">
        <f t="shared" si="2"/>
        <v>Normal</v>
      </c>
      <c r="M4" s="4" t="s">
        <v>51</v>
      </c>
      <c r="N4" s="4" t="s">
        <v>52</v>
      </c>
      <c r="O4" s="4" t="s">
        <v>53</v>
      </c>
      <c r="Q4" s="3" t="s">
        <v>54</v>
      </c>
      <c r="R4" s="4">
        <f>COUNTIF($I$2:$I$41,Q4)</f>
        <v>23</v>
      </c>
    </row>
    <row r="5" spans="1:18" x14ac:dyDescent="0.3">
      <c r="A5" s="2">
        <v>4</v>
      </c>
      <c r="B5" s="2" t="s">
        <v>13</v>
      </c>
      <c r="C5" s="2" t="s">
        <v>11</v>
      </c>
      <c r="D5" s="2">
        <v>27</v>
      </c>
      <c r="E5" s="2">
        <v>158</v>
      </c>
      <c r="F5" s="2">
        <v>60</v>
      </c>
      <c r="G5" s="2">
        <f t="shared" si="0"/>
        <v>1.58</v>
      </c>
      <c r="H5" s="3">
        <f t="shared" si="1"/>
        <v>24</v>
      </c>
      <c r="I5" s="3" t="str">
        <f t="shared" si="2"/>
        <v>Normal</v>
      </c>
      <c r="M5" s="5">
        <f>AVERAGE(H2:H41)</f>
        <v>23.127499999999994</v>
      </c>
      <c r="N5" s="5">
        <f>MIN(H2:H41)</f>
        <v>17.5</v>
      </c>
      <c r="O5" s="5">
        <f>MAX(H2:H41)</f>
        <v>29.4</v>
      </c>
      <c r="Q5" s="4" t="s">
        <v>55</v>
      </c>
      <c r="R5" s="4">
        <f t="shared" ref="R5:R7" si="3">COUNTIF($I$2:$I$41,Q5)</f>
        <v>14</v>
      </c>
    </row>
    <row r="6" spans="1:18" x14ac:dyDescent="0.3">
      <c r="A6" s="2">
        <v>5</v>
      </c>
      <c r="B6" s="2" t="s">
        <v>14</v>
      </c>
      <c r="C6" s="2" t="s">
        <v>9</v>
      </c>
      <c r="D6" s="2">
        <v>30</v>
      </c>
      <c r="E6" s="2">
        <v>170</v>
      </c>
      <c r="F6" s="2">
        <v>80</v>
      </c>
      <c r="G6" s="2">
        <f t="shared" si="0"/>
        <v>1.7</v>
      </c>
      <c r="H6" s="3">
        <f t="shared" si="1"/>
        <v>27.7</v>
      </c>
      <c r="I6" s="3" t="str">
        <f t="shared" si="2"/>
        <v>Overweight</v>
      </c>
      <c r="Q6" s="4" t="s">
        <v>56</v>
      </c>
      <c r="R6" s="4">
        <f t="shared" si="3"/>
        <v>3</v>
      </c>
    </row>
    <row r="7" spans="1:18" x14ac:dyDescent="0.3">
      <c r="A7" s="2">
        <v>6</v>
      </c>
      <c r="B7" s="2" t="s">
        <v>15</v>
      </c>
      <c r="C7" s="2" t="s">
        <v>11</v>
      </c>
      <c r="D7" s="2">
        <v>24</v>
      </c>
      <c r="E7" s="2">
        <v>165</v>
      </c>
      <c r="F7" s="2">
        <v>50</v>
      </c>
      <c r="G7" s="2">
        <f t="shared" si="0"/>
        <v>1.65</v>
      </c>
      <c r="H7" s="3">
        <f t="shared" si="1"/>
        <v>18.399999999999999</v>
      </c>
      <c r="I7" s="3" t="str">
        <f t="shared" si="2"/>
        <v>Underweight</v>
      </c>
      <c r="Q7" s="4" t="s">
        <v>59</v>
      </c>
      <c r="R7" s="4">
        <f t="shared" si="3"/>
        <v>0</v>
      </c>
    </row>
    <row r="8" spans="1:18" x14ac:dyDescent="0.3">
      <c r="A8" s="2">
        <v>7</v>
      </c>
      <c r="B8" s="2" t="s">
        <v>16</v>
      </c>
      <c r="C8" s="2" t="s">
        <v>9</v>
      </c>
      <c r="D8" s="2">
        <v>28</v>
      </c>
      <c r="E8" s="2">
        <v>185</v>
      </c>
      <c r="F8" s="2">
        <v>90</v>
      </c>
      <c r="G8" s="2">
        <f t="shared" si="0"/>
        <v>1.85</v>
      </c>
      <c r="H8" s="3">
        <f t="shared" si="1"/>
        <v>26.3</v>
      </c>
      <c r="I8" s="3" t="str">
        <f t="shared" si="2"/>
        <v>Overweight</v>
      </c>
      <c r="M8" s="4" t="s">
        <v>2</v>
      </c>
      <c r="N8" s="4" t="s">
        <v>60</v>
      </c>
    </row>
    <row r="9" spans="1:18" x14ac:dyDescent="0.3">
      <c r="A9" s="2">
        <v>8</v>
      </c>
      <c r="B9" s="2" t="s">
        <v>17</v>
      </c>
      <c r="C9" s="2" t="s">
        <v>11</v>
      </c>
      <c r="D9" s="2">
        <v>26</v>
      </c>
      <c r="E9" s="2">
        <v>160</v>
      </c>
      <c r="F9" s="2">
        <v>45</v>
      </c>
      <c r="G9" s="2">
        <f t="shared" si="0"/>
        <v>1.6</v>
      </c>
      <c r="H9" s="3">
        <f t="shared" si="1"/>
        <v>17.600000000000001</v>
      </c>
      <c r="I9" s="3" t="str">
        <f t="shared" si="2"/>
        <v>Underweight</v>
      </c>
      <c r="M9" s="4" t="s">
        <v>9</v>
      </c>
      <c r="N9" s="4">
        <f>AVERAGEIF($C$2:$C$41,$M9,$H$2:$H$41)</f>
        <v>25.085000000000008</v>
      </c>
    </row>
    <row r="10" spans="1:18" x14ac:dyDescent="0.3">
      <c r="A10" s="2">
        <v>9</v>
      </c>
      <c r="B10" s="2" t="s">
        <v>18</v>
      </c>
      <c r="C10" s="2" t="s">
        <v>9</v>
      </c>
      <c r="D10" s="2">
        <v>23</v>
      </c>
      <c r="E10" s="2">
        <v>172</v>
      </c>
      <c r="F10" s="2">
        <v>64</v>
      </c>
      <c r="G10" s="2">
        <f t="shared" si="0"/>
        <v>1.72</v>
      </c>
      <c r="H10" s="3">
        <f t="shared" si="1"/>
        <v>21.6</v>
      </c>
      <c r="I10" s="3" t="str">
        <f t="shared" si="2"/>
        <v>Normal</v>
      </c>
      <c r="M10" s="4" t="s">
        <v>11</v>
      </c>
      <c r="N10" s="4">
        <f>AVERAGEIF($C$2:$C$41,$M10,$H$2:$H$41)</f>
        <v>21.169999999999998</v>
      </c>
    </row>
    <row r="11" spans="1:18" x14ac:dyDescent="0.3">
      <c r="A11" s="2">
        <v>10</v>
      </c>
      <c r="B11" s="2" t="s">
        <v>19</v>
      </c>
      <c r="C11" s="2" t="s">
        <v>11</v>
      </c>
      <c r="D11" s="2">
        <v>20</v>
      </c>
      <c r="E11" s="2">
        <v>155</v>
      </c>
      <c r="F11" s="2">
        <v>52</v>
      </c>
      <c r="G11" s="2">
        <f t="shared" si="0"/>
        <v>1.55</v>
      </c>
      <c r="H11" s="3">
        <f t="shared" si="1"/>
        <v>21.6</v>
      </c>
      <c r="I11" s="3" t="str">
        <f t="shared" si="2"/>
        <v>Normal</v>
      </c>
    </row>
    <row r="12" spans="1:18" x14ac:dyDescent="0.3">
      <c r="A12" s="2">
        <v>11</v>
      </c>
      <c r="B12" s="2" t="s">
        <v>20</v>
      </c>
      <c r="C12" s="2" t="s">
        <v>9</v>
      </c>
      <c r="D12" s="2">
        <v>32</v>
      </c>
      <c r="E12" s="2">
        <v>178</v>
      </c>
      <c r="F12" s="2">
        <v>85</v>
      </c>
      <c r="G12" s="2">
        <f t="shared" si="0"/>
        <v>1.78</v>
      </c>
      <c r="H12" s="3">
        <f t="shared" si="1"/>
        <v>26.8</v>
      </c>
      <c r="I12" s="3" t="str">
        <f t="shared" si="2"/>
        <v>Overweight</v>
      </c>
    </row>
    <row r="13" spans="1:18" x14ac:dyDescent="0.3">
      <c r="A13" s="2">
        <v>12</v>
      </c>
      <c r="B13" s="2" t="s">
        <v>21</v>
      </c>
      <c r="C13" s="2" t="s">
        <v>11</v>
      </c>
      <c r="D13" s="2">
        <v>29</v>
      </c>
      <c r="E13" s="2">
        <v>163</v>
      </c>
      <c r="F13" s="2">
        <v>58</v>
      </c>
      <c r="G13" s="2">
        <f t="shared" si="0"/>
        <v>1.63</v>
      </c>
      <c r="H13" s="3">
        <f t="shared" si="1"/>
        <v>21.8</v>
      </c>
      <c r="I13" s="3" t="str">
        <f t="shared" si="2"/>
        <v>Normal</v>
      </c>
    </row>
    <row r="14" spans="1:18" x14ac:dyDescent="0.3">
      <c r="A14" s="2">
        <v>13</v>
      </c>
      <c r="B14" s="2" t="s">
        <v>22</v>
      </c>
      <c r="C14" s="2" t="s">
        <v>9</v>
      </c>
      <c r="D14" s="2">
        <v>21</v>
      </c>
      <c r="E14" s="2">
        <v>168</v>
      </c>
      <c r="F14" s="2">
        <v>70</v>
      </c>
      <c r="G14" s="2">
        <f t="shared" si="0"/>
        <v>1.68</v>
      </c>
      <c r="H14" s="3">
        <f t="shared" si="1"/>
        <v>24.8</v>
      </c>
      <c r="I14" s="3" t="str">
        <f t="shared" si="2"/>
        <v>Normal</v>
      </c>
    </row>
    <row r="15" spans="1:18" x14ac:dyDescent="0.3">
      <c r="A15" s="2">
        <v>14</v>
      </c>
      <c r="B15" s="2" t="s">
        <v>23</v>
      </c>
      <c r="C15" s="2" t="s">
        <v>11</v>
      </c>
      <c r="D15" s="2">
        <v>23</v>
      </c>
      <c r="E15" s="2">
        <v>157</v>
      </c>
      <c r="F15" s="2">
        <v>62</v>
      </c>
      <c r="G15" s="2">
        <f t="shared" si="0"/>
        <v>1.57</v>
      </c>
      <c r="H15" s="3">
        <f t="shared" si="1"/>
        <v>25.2</v>
      </c>
      <c r="I15" s="3" t="str">
        <f t="shared" si="2"/>
        <v>Overweight</v>
      </c>
    </row>
    <row r="16" spans="1:18" x14ac:dyDescent="0.3">
      <c r="A16" s="2">
        <v>15</v>
      </c>
      <c r="B16" s="2" t="s">
        <v>24</v>
      </c>
      <c r="C16" s="2" t="s">
        <v>9</v>
      </c>
      <c r="D16" s="2">
        <v>26</v>
      </c>
      <c r="E16" s="2">
        <v>182</v>
      </c>
      <c r="F16" s="2">
        <v>92</v>
      </c>
      <c r="G16" s="2">
        <f t="shared" si="0"/>
        <v>1.82</v>
      </c>
      <c r="H16" s="3">
        <f t="shared" si="1"/>
        <v>27.8</v>
      </c>
      <c r="I16" s="3" t="str">
        <f t="shared" si="2"/>
        <v>Overweight</v>
      </c>
    </row>
    <row r="17" spans="1:9" x14ac:dyDescent="0.3">
      <c r="A17" s="2">
        <v>16</v>
      </c>
      <c r="B17" s="2" t="s">
        <v>25</v>
      </c>
      <c r="C17" s="2" t="s">
        <v>11</v>
      </c>
      <c r="D17" s="2">
        <v>28</v>
      </c>
      <c r="E17" s="2">
        <v>160</v>
      </c>
      <c r="F17" s="2">
        <v>48</v>
      </c>
      <c r="G17" s="2">
        <f t="shared" si="0"/>
        <v>1.6</v>
      </c>
      <c r="H17" s="3">
        <f t="shared" si="1"/>
        <v>18.8</v>
      </c>
      <c r="I17" s="3" t="str">
        <f t="shared" si="2"/>
        <v>Normal</v>
      </c>
    </row>
    <row r="18" spans="1:9" x14ac:dyDescent="0.3">
      <c r="A18" s="2">
        <v>17</v>
      </c>
      <c r="B18" s="2" t="s">
        <v>26</v>
      </c>
      <c r="C18" s="2" t="s">
        <v>9</v>
      </c>
      <c r="D18" s="2">
        <v>24</v>
      </c>
      <c r="E18" s="2">
        <v>175</v>
      </c>
      <c r="F18" s="2">
        <v>76</v>
      </c>
      <c r="G18" s="2">
        <f t="shared" si="0"/>
        <v>1.75</v>
      </c>
      <c r="H18" s="3">
        <f t="shared" si="1"/>
        <v>24.8</v>
      </c>
      <c r="I18" s="3" t="str">
        <f t="shared" si="2"/>
        <v>Normal</v>
      </c>
    </row>
    <row r="19" spans="1:9" x14ac:dyDescent="0.3">
      <c r="A19" s="2">
        <v>18</v>
      </c>
      <c r="B19" s="2" t="s">
        <v>27</v>
      </c>
      <c r="C19" s="2" t="s">
        <v>11</v>
      </c>
      <c r="D19" s="2">
        <v>27</v>
      </c>
      <c r="E19" s="2">
        <v>165</v>
      </c>
      <c r="F19" s="2">
        <v>70</v>
      </c>
      <c r="G19" s="2">
        <f t="shared" si="0"/>
        <v>1.65</v>
      </c>
      <c r="H19" s="3">
        <f t="shared" si="1"/>
        <v>25.7</v>
      </c>
      <c r="I19" s="3" t="str">
        <f t="shared" si="2"/>
        <v>Overweight</v>
      </c>
    </row>
    <row r="20" spans="1:9" x14ac:dyDescent="0.3">
      <c r="A20" s="2">
        <v>19</v>
      </c>
      <c r="B20" s="2" t="s">
        <v>28</v>
      </c>
      <c r="C20" s="2" t="s">
        <v>9</v>
      </c>
      <c r="D20" s="2">
        <v>25</v>
      </c>
      <c r="E20" s="2">
        <v>181</v>
      </c>
      <c r="F20" s="2">
        <v>86</v>
      </c>
      <c r="G20" s="2">
        <f t="shared" si="0"/>
        <v>1.81</v>
      </c>
      <c r="H20" s="3">
        <f t="shared" si="1"/>
        <v>26.3</v>
      </c>
      <c r="I20" s="3" t="str">
        <f t="shared" si="2"/>
        <v>Overweight</v>
      </c>
    </row>
    <row r="21" spans="1:9" x14ac:dyDescent="0.3">
      <c r="A21" s="2">
        <v>20</v>
      </c>
      <c r="B21" s="2" t="s">
        <v>29</v>
      </c>
      <c r="C21" s="2" t="s">
        <v>11</v>
      </c>
      <c r="D21" s="2">
        <v>22</v>
      </c>
      <c r="E21" s="2">
        <v>158</v>
      </c>
      <c r="F21" s="2">
        <v>53</v>
      </c>
      <c r="G21" s="2">
        <f t="shared" si="0"/>
        <v>1.58</v>
      </c>
      <c r="H21" s="3">
        <f t="shared" si="1"/>
        <v>21.2</v>
      </c>
      <c r="I21" s="3" t="str">
        <f t="shared" si="2"/>
        <v>Normal</v>
      </c>
    </row>
    <row r="22" spans="1:9" x14ac:dyDescent="0.3">
      <c r="A22" s="2">
        <v>21</v>
      </c>
      <c r="B22" s="2" t="s">
        <v>30</v>
      </c>
      <c r="C22" s="2" t="s">
        <v>9</v>
      </c>
      <c r="D22" s="2">
        <v>29</v>
      </c>
      <c r="E22" s="2">
        <v>177</v>
      </c>
      <c r="F22" s="2">
        <v>82</v>
      </c>
      <c r="G22" s="2">
        <f t="shared" si="0"/>
        <v>1.77</v>
      </c>
      <c r="H22" s="3">
        <f t="shared" si="1"/>
        <v>26.2</v>
      </c>
      <c r="I22" s="3" t="str">
        <f t="shared" si="2"/>
        <v>Overweight</v>
      </c>
    </row>
    <row r="23" spans="1:9" x14ac:dyDescent="0.3">
      <c r="A23" s="2">
        <v>22</v>
      </c>
      <c r="B23" s="2" t="s">
        <v>31</v>
      </c>
      <c r="C23" s="2" t="s">
        <v>11</v>
      </c>
      <c r="D23" s="2">
        <v>24</v>
      </c>
      <c r="E23" s="2">
        <v>166</v>
      </c>
      <c r="F23" s="2">
        <v>65</v>
      </c>
      <c r="G23" s="2">
        <f t="shared" si="0"/>
        <v>1.66</v>
      </c>
      <c r="H23" s="3">
        <f t="shared" si="1"/>
        <v>23.6</v>
      </c>
      <c r="I23" s="3" t="str">
        <f t="shared" si="2"/>
        <v>Normal</v>
      </c>
    </row>
    <row r="24" spans="1:9" x14ac:dyDescent="0.3">
      <c r="A24" s="2">
        <v>23</v>
      </c>
      <c r="B24" s="2" t="s">
        <v>32</v>
      </c>
      <c r="C24" s="2" t="s">
        <v>9</v>
      </c>
      <c r="D24" s="2">
        <v>33</v>
      </c>
      <c r="E24" s="2">
        <v>173</v>
      </c>
      <c r="F24" s="2">
        <v>88</v>
      </c>
      <c r="G24" s="2">
        <f t="shared" si="0"/>
        <v>1.73</v>
      </c>
      <c r="H24" s="3">
        <f t="shared" si="1"/>
        <v>29.4</v>
      </c>
      <c r="I24" s="3" t="str">
        <f t="shared" si="2"/>
        <v>Overweight</v>
      </c>
    </row>
    <row r="25" spans="1:9" x14ac:dyDescent="0.3">
      <c r="A25" s="2">
        <v>24</v>
      </c>
      <c r="B25" s="2" t="s">
        <v>33</v>
      </c>
      <c r="C25" s="2" t="s">
        <v>11</v>
      </c>
      <c r="D25" s="2">
        <v>21</v>
      </c>
      <c r="E25" s="2">
        <v>162</v>
      </c>
      <c r="F25" s="2">
        <v>49</v>
      </c>
      <c r="G25" s="2">
        <f t="shared" si="0"/>
        <v>1.62</v>
      </c>
      <c r="H25" s="3">
        <f t="shared" si="1"/>
        <v>18.7</v>
      </c>
      <c r="I25" s="3" t="str">
        <f t="shared" si="2"/>
        <v>Normal</v>
      </c>
    </row>
    <row r="26" spans="1:9" x14ac:dyDescent="0.3">
      <c r="A26" s="2">
        <v>25</v>
      </c>
      <c r="B26" s="2" t="s">
        <v>34</v>
      </c>
      <c r="C26" s="2" t="s">
        <v>9</v>
      </c>
      <c r="D26" s="2">
        <v>31</v>
      </c>
      <c r="E26" s="2">
        <v>185</v>
      </c>
      <c r="F26" s="2">
        <v>95</v>
      </c>
      <c r="G26" s="2">
        <f t="shared" si="0"/>
        <v>1.85</v>
      </c>
      <c r="H26" s="3">
        <f t="shared" si="1"/>
        <v>27.8</v>
      </c>
      <c r="I26" s="3" t="str">
        <f t="shared" si="2"/>
        <v>Overweight</v>
      </c>
    </row>
    <row r="27" spans="1:9" x14ac:dyDescent="0.3">
      <c r="A27" s="2">
        <v>26</v>
      </c>
      <c r="B27" s="2" t="s">
        <v>35</v>
      </c>
      <c r="C27" s="2" t="s">
        <v>11</v>
      </c>
      <c r="D27" s="2">
        <v>30</v>
      </c>
      <c r="E27" s="2">
        <v>168</v>
      </c>
      <c r="F27" s="2">
        <v>72</v>
      </c>
      <c r="G27" s="2">
        <f t="shared" si="0"/>
        <v>1.68</v>
      </c>
      <c r="H27" s="3">
        <f t="shared" si="1"/>
        <v>25.5</v>
      </c>
      <c r="I27" s="3" t="str">
        <f t="shared" si="2"/>
        <v>Overweight</v>
      </c>
    </row>
    <row r="28" spans="1:9" x14ac:dyDescent="0.3">
      <c r="A28" s="2">
        <v>27</v>
      </c>
      <c r="B28" s="2" t="s">
        <v>36</v>
      </c>
      <c r="C28" s="2" t="s">
        <v>9</v>
      </c>
      <c r="D28" s="2">
        <v>27</v>
      </c>
      <c r="E28" s="2">
        <v>172</v>
      </c>
      <c r="F28" s="2">
        <v>60</v>
      </c>
      <c r="G28" s="2">
        <f t="shared" si="0"/>
        <v>1.72</v>
      </c>
      <c r="H28" s="3">
        <f t="shared" si="1"/>
        <v>20.3</v>
      </c>
      <c r="I28" s="3" t="str">
        <f t="shared" si="2"/>
        <v>Normal</v>
      </c>
    </row>
    <row r="29" spans="1:9" x14ac:dyDescent="0.3">
      <c r="A29" s="2">
        <v>28</v>
      </c>
      <c r="B29" s="2" t="s">
        <v>37</v>
      </c>
      <c r="C29" s="2" t="s">
        <v>11</v>
      </c>
      <c r="D29" s="2">
        <v>22</v>
      </c>
      <c r="E29" s="2">
        <v>164</v>
      </c>
      <c r="F29" s="2">
        <v>52</v>
      </c>
      <c r="G29" s="2">
        <f t="shared" si="0"/>
        <v>1.64</v>
      </c>
      <c r="H29" s="3">
        <f t="shared" si="1"/>
        <v>19.3</v>
      </c>
      <c r="I29" s="3" t="str">
        <f t="shared" si="2"/>
        <v>Normal</v>
      </c>
    </row>
    <row r="30" spans="1:9" x14ac:dyDescent="0.3">
      <c r="A30" s="2">
        <v>29</v>
      </c>
      <c r="B30" s="2" t="s">
        <v>38</v>
      </c>
      <c r="C30" s="2" t="s">
        <v>9</v>
      </c>
      <c r="D30" s="2">
        <v>20</v>
      </c>
      <c r="E30" s="2">
        <v>176</v>
      </c>
      <c r="F30" s="2">
        <v>66</v>
      </c>
      <c r="G30" s="2">
        <f t="shared" si="0"/>
        <v>1.76</v>
      </c>
      <c r="H30" s="3">
        <f t="shared" si="1"/>
        <v>21.3</v>
      </c>
      <c r="I30" s="3" t="str">
        <f t="shared" si="2"/>
        <v>Normal</v>
      </c>
    </row>
    <row r="31" spans="1:9" x14ac:dyDescent="0.3">
      <c r="A31" s="2">
        <v>30</v>
      </c>
      <c r="B31" s="2" t="s">
        <v>39</v>
      </c>
      <c r="C31" s="2" t="s">
        <v>11</v>
      </c>
      <c r="D31" s="2">
        <v>23</v>
      </c>
      <c r="E31" s="2">
        <v>158</v>
      </c>
      <c r="F31" s="2">
        <v>47</v>
      </c>
      <c r="G31" s="2">
        <f t="shared" si="0"/>
        <v>1.58</v>
      </c>
      <c r="H31" s="3">
        <f t="shared" si="1"/>
        <v>18.8</v>
      </c>
      <c r="I31" s="3" t="str">
        <f t="shared" si="2"/>
        <v>Normal</v>
      </c>
    </row>
    <row r="32" spans="1:9" x14ac:dyDescent="0.3">
      <c r="A32" s="2">
        <v>31</v>
      </c>
      <c r="B32" s="2" t="s">
        <v>40</v>
      </c>
      <c r="C32" s="2" t="s">
        <v>9</v>
      </c>
      <c r="D32" s="2">
        <v>28</v>
      </c>
      <c r="E32" s="2">
        <v>183</v>
      </c>
      <c r="F32" s="2">
        <v>89</v>
      </c>
      <c r="G32" s="2">
        <f t="shared" si="0"/>
        <v>1.83</v>
      </c>
      <c r="H32" s="3">
        <f t="shared" si="1"/>
        <v>26.6</v>
      </c>
      <c r="I32" s="3" t="str">
        <f t="shared" si="2"/>
        <v>Overweight</v>
      </c>
    </row>
    <row r="33" spans="1:9" x14ac:dyDescent="0.3">
      <c r="A33" s="2">
        <v>32</v>
      </c>
      <c r="B33" s="2" t="s">
        <v>41</v>
      </c>
      <c r="C33" s="2" t="s">
        <v>11</v>
      </c>
      <c r="D33" s="2">
        <v>26</v>
      </c>
      <c r="E33" s="2">
        <v>159</v>
      </c>
      <c r="F33" s="2">
        <v>54</v>
      </c>
      <c r="G33" s="2">
        <f t="shared" si="0"/>
        <v>1.59</v>
      </c>
      <c r="H33" s="3">
        <f t="shared" si="1"/>
        <v>21.4</v>
      </c>
      <c r="I33" s="3" t="str">
        <f t="shared" si="2"/>
        <v>Normal</v>
      </c>
    </row>
    <row r="34" spans="1:9" x14ac:dyDescent="0.3">
      <c r="A34" s="2">
        <v>33</v>
      </c>
      <c r="B34" s="2" t="s">
        <v>42</v>
      </c>
      <c r="C34" s="2" t="s">
        <v>9</v>
      </c>
      <c r="D34" s="2">
        <v>24</v>
      </c>
      <c r="E34" s="2">
        <v>174</v>
      </c>
      <c r="F34" s="2">
        <v>68</v>
      </c>
      <c r="G34" s="2">
        <f t="shared" si="0"/>
        <v>1.74</v>
      </c>
      <c r="H34" s="3">
        <f t="shared" si="1"/>
        <v>22.5</v>
      </c>
      <c r="I34" s="3" t="str">
        <f t="shared" si="2"/>
        <v>Normal</v>
      </c>
    </row>
    <row r="35" spans="1:9" x14ac:dyDescent="0.3">
      <c r="A35" s="2">
        <v>34</v>
      </c>
      <c r="B35" s="2" t="s">
        <v>43</v>
      </c>
      <c r="C35" s="2" t="s">
        <v>11</v>
      </c>
      <c r="D35" s="2">
        <v>25</v>
      </c>
      <c r="E35" s="2">
        <v>161</v>
      </c>
      <c r="F35" s="2">
        <v>50</v>
      </c>
      <c r="G35" s="2">
        <f t="shared" si="0"/>
        <v>1.61</v>
      </c>
      <c r="H35" s="3">
        <f t="shared" si="1"/>
        <v>19.3</v>
      </c>
      <c r="I35" s="3" t="str">
        <f t="shared" si="2"/>
        <v>Normal</v>
      </c>
    </row>
    <row r="36" spans="1:9" x14ac:dyDescent="0.3">
      <c r="A36" s="2">
        <v>35</v>
      </c>
      <c r="B36" s="2" t="s">
        <v>44</v>
      </c>
      <c r="C36" s="2" t="s">
        <v>9</v>
      </c>
      <c r="D36" s="2">
        <v>27</v>
      </c>
      <c r="E36" s="2">
        <v>179</v>
      </c>
      <c r="F36" s="2">
        <v>77</v>
      </c>
      <c r="G36" s="2">
        <f t="shared" si="0"/>
        <v>1.79</v>
      </c>
      <c r="H36" s="3">
        <f t="shared" si="1"/>
        <v>24</v>
      </c>
      <c r="I36" s="3" t="str">
        <f t="shared" si="2"/>
        <v>Normal</v>
      </c>
    </row>
    <row r="37" spans="1:9" x14ac:dyDescent="0.3">
      <c r="A37" s="2">
        <v>36</v>
      </c>
      <c r="B37" s="2" t="s">
        <v>45</v>
      </c>
      <c r="C37" s="2" t="s">
        <v>11</v>
      </c>
      <c r="D37" s="2">
        <v>29</v>
      </c>
      <c r="E37" s="2">
        <v>167</v>
      </c>
      <c r="F37" s="2">
        <v>62</v>
      </c>
      <c r="G37" s="2">
        <f t="shared" si="0"/>
        <v>1.67</v>
      </c>
      <c r="H37" s="3">
        <f t="shared" si="1"/>
        <v>22.2</v>
      </c>
      <c r="I37" s="3" t="str">
        <f t="shared" si="2"/>
        <v>Normal</v>
      </c>
    </row>
    <row r="38" spans="1:9" x14ac:dyDescent="0.3">
      <c r="A38" s="2">
        <v>37</v>
      </c>
      <c r="B38" s="2" t="s">
        <v>46</v>
      </c>
      <c r="C38" s="2" t="s">
        <v>9</v>
      </c>
      <c r="D38" s="2">
        <v>23</v>
      </c>
      <c r="E38" s="2">
        <v>169</v>
      </c>
      <c r="F38" s="2">
        <v>73</v>
      </c>
      <c r="G38" s="2">
        <f t="shared" si="0"/>
        <v>1.69</v>
      </c>
      <c r="H38" s="3">
        <f t="shared" si="1"/>
        <v>25.6</v>
      </c>
      <c r="I38" s="3" t="str">
        <f t="shared" si="2"/>
        <v>Overweight</v>
      </c>
    </row>
    <row r="39" spans="1:9" x14ac:dyDescent="0.3">
      <c r="A39" s="2">
        <v>38</v>
      </c>
      <c r="B39" s="2" t="s">
        <v>47</v>
      </c>
      <c r="C39" s="2" t="s">
        <v>11</v>
      </c>
      <c r="D39" s="2">
        <v>22</v>
      </c>
      <c r="E39" s="2">
        <v>155</v>
      </c>
      <c r="F39" s="2">
        <v>42</v>
      </c>
      <c r="G39" s="2">
        <f t="shared" si="0"/>
        <v>1.55</v>
      </c>
      <c r="H39" s="3">
        <f t="shared" si="1"/>
        <v>17.5</v>
      </c>
      <c r="I39" s="3" t="str">
        <f t="shared" si="2"/>
        <v>Underweight</v>
      </c>
    </row>
    <row r="40" spans="1:9" x14ac:dyDescent="0.3">
      <c r="A40" s="2">
        <v>39</v>
      </c>
      <c r="B40" s="2" t="s">
        <v>48</v>
      </c>
      <c r="C40" s="2" t="s">
        <v>9</v>
      </c>
      <c r="D40" s="2">
        <v>26</v>
      </c>
      <c r="E40" s="2">
        <v>181</v>
      </c>
      <c r="F40" s="2">
        <v>84</v>
      </c>
      <c r="G40" s="2">
        <f t="shared" si="0"/>
        <v>1.81</v>
      </c>
      <c r="H40" s="3">
        <f t="shared" si="1"/>
        <v>25.6</v>
      </c>
      <c r="I40" s="3" t="str">
        <f t="shared" si="2"/>
        <v>Overweight</v>
      </c>
    </row>
    <row r="41" spans="1:9" x14ac:dyDescent="0.3">
      <c r="A41" s="2">
        <v>40</v>
      </c>
      <c r="B41" s="2" t="s">
        <v>49</v>
      </c>
      <c r="C41" s="2" t="s">
        <v>11</v>
      </c>
      <c r="D41" s="2">
        <v>21</v>
      </c>
      <c r="E41" s="2">
        <v>163</v>
      </c>
      <c r="F41" s="2">
        <v>58</v>
      </c>
      <c r="G41" s="2">
        <f t="shared" si="0"/>
        <v>1.63</v>
      </c>
      <c r="H41" s="3">
        <f t="shared" si="1"/>
        <v>21.8</v>
      </c>
      <c r="I41" s="3" t="str">
        <f t="shared" si="2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BMI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2025-10-27T07:57:06Z</dcterms:modified>
</cp:coreProperties>
</file>