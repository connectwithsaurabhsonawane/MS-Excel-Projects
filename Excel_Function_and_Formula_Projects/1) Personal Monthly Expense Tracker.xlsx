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5BFB23FF-DAEF-478F-A381-3B6D5ADD40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ct Dataset" sheetId="1" r:id="rId1"/>
    <sheet name="Pivot Analysis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K12" i="1"/>
  <c r="J12" i="1"/>
  <c r="L12" i="1" s="1"/>
  <c r="K9" i="1"/>
  <c r="L9" i="1"/>
  <c r="J9" i="1"/>
  <c r="K6" i="1"/>
  <c r="L6" i="1"/>
  <c r="J6" i="1"/>
  <c r="M2" i="1"/>
  <c r="L2" i="1"/>
  <c r="K2" i="1"/>
  <c r="J2" i="1"/>
</calcChain>
</file>

<file path=xl/sharedStrings.xml><?xml version="1.0" encoding="utf-8"?>
<sst xmlns="http://schemas.openxmlformats.org/spreadsheetml/2006/main" count="157" uniqueCount="84">
  <si>
    <t>Date</t>
  </si>
  <si>
    <t>Category</t>
  </si>
  <si>
    <t>Item</t>
  </si>
  <si>
    <t>Amount</t>
  </si>
  <si>
    <t>Payment Mode</t>
  </si>
  <si>
    <t>Planned Budget</t>
  </si>
  <si>
    <t>Notes</t>
  </si>
  <si>
    <t>Food</t>
  </si>
  <si>
    <t>Breakfast</t>
  </si>
  <si>
    <t>Cash</t>
  </si>
  <si>
    <t>Hotel food</t>
  </si>
  <si>
    <t>Transport</t>
  </si>
  <si>
    <t>Bus fare</t>
  </si>
  <si>
    <t>To office</t>
  </si>
  <si>
    <t>Groceries</t>
  </si>
  <si>
    <t>Vegetables</t>
  </si>
  <si>
    <t>UPI</t>
  </si>
  <si>
    <t>Daily items</t>
  </si>
  <si>
    <t>Utilities</t>
  </si>
  <si>
    <t>Electricity Bill</t>
  </si>
  <si>
    <t>Card</t>
  </si>
  <si>
    <t>Oct bill</t>
  </si>
  <si>
    <t>Lunch</t>
  </si>
  <si>
    <t>Office canteen</t>
  </si>
  <si>
    <t>Entertainment</t>
  </si>
  <si>
    <t>Movie</t>
  </si>
  <si>
    <t>Evening show</t>
  </si>
  <si>
    <t>Health</t>
  </si>
  <si>
    <t>Medicine</t>
  </si>
  <si>
    <t>Fever tablets</t>
  </si>
  <si>
    <t>Petrol</t>
  </si>
  <si>
    <t>Bike</t>
  </si>
  <si>
    <t>Milk</t>
  </si>
  <si>
    <t>Morning</t>
  </si>
  <si>
    <t>Water Bill</t>
  </si>
  <si>
    <t>Monthly</t>
  </si>
  <si>
    <t>Dinner</t>
  </si>
  <si>
    <t>Hotel</t>
  </si>
  <si>
    <t>Shopping</t>
  </si>
  <si>
    <t>Clothes</t>
  </si>
  <si>
    <t>Sale</t>
  </si>
  <si>
    <t>Netflix</t>
  </si>
  <si>
    <t>Monthly sub</t>
  </si>
  <si>
    <t>Snacks</t>
  </si>
  <si>
    <t>Home</t>
  </si>
  <si>
    <t>Gym</t>
  </si>
  <si>
    <t>Auto</t>
  </si>
  <si>
    <t>Market</t>
  </si>
  <si>
    <t>Internet</t>
  </si>
  <si>
    <t>WiFi</t>
  </si>
  <si>
    <t>Canteen</t>
  </si>
  <si>
    <t>Fruits</t>
  </si>
  <si>
    <t>Shoes</t>
  </si>
  <si>
    <t>Offer</t>
  </si>
  <si>
    <t>Check-up</t>
  </si>
  <si>
    <t>Clinic</t>
  </si>
  <si>
    <t>With friends</t>
  </si>
  <si>
    <t>Bus</t>
  </si>
  <si>
    <t>Office</t>
  </si>
  <si>
    <t>Game</t>
  </si>
  <si>
    <t>Mobile game</t>
  </si>
  <si>
    <t>Spices</t>
  </si>
  <si>
    <t>Watch</t>
  </si>
  <si>
    <t>Gift</t>
  </si>
  <si>
    <t>Gas Bill</t>
  </si>
  <si>
    <t>Cooking</t>
  </si>
  <si>
    <t>Cab</t>
  </si>
  <si>
    <t>Office trip</t>
  </si>
  <si>
    <t>Rice</t>
  </si>
  <si>
    <t>Monthly stock</t>
  </si>
  <si>
    <t>Cold tablets</t>
  </si>
  <si>
    <t>Average Spend</t>
  </si>
  <si>
    <t>Total Spend</t>
  </si>
  <si>
    <t>Highest Expense</t>
  </si>
  <si>
    <t>Lowest Expense</t>
  </si>
  <si>
    <t>Budget Variance</t>
  </si>
  <si>
    <t>Spend Budget</t>
  </si>
  <si>
    <t>Expense Exceed</t>
  </si>
  <si>
    <t>Total Categories</t>
  </si>
  <si>
    <t>Grand Total</t>
  </si>
  <si>
    <t>Amounts</t>
  </si>
  <si>
    <t>Average of Amount</t>
  </si>
  <si>
    <t>Max of Amount</t>
  </si>
  <si>
    <t>Min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</si>
</sst>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2" fillId="2" borderId="0" xfId="0" applyFont="1" applyFill="1"/>
    <xf numFmtId="0" fontId="3" fillId="4" borderId="1" xfId="0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495"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2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2"/>
      </font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  <fill>
        <patternFill>
          <fgColor theme="5"/>
        </patternFill>
      </fill>
      <alignment horizontal="left"/>
    </dxf>
    <dxf>
      <alignment horizontal="general" vertical="bottom" textRotation="0" wrapText="0" indent="0" justifyLastLine="0" shrinkToFit="0" readingOrder="0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1" formatCode="0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ont>
        <b/>
      </font>
      <fill>
        <patternFill>
          <fgColor theme="5"/>
        </patternFill>
      </fill>
    </dxf>
    <dxf>
      <font>
        <b/>
      </font>
      <fill>
        <patternFill>
          <fgColor theme="5"/>
        </patternFill>
      </fill>
    </dxf>
    <dxf>
      <numFmt numFmtId="172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172" formatCode="0.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2" formatCode="0.00"/>
    </dxf>
    <dxf>
      <numFmt numFmtId="171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171" formatCode="0.000"/>
    </dxf>
    <dxf>
      <numFmt numFmtId="170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170" formatCode="0.0000"/>
    </dxf>
    <dxf>
      <numFmt numFmtId="169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169" formatCode="0.00000"/>
    </dxf>
    <dxf>
      <numFmt numFmtId="168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numFmt numFmtId="168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fgColor rgb="FFC00000"/>
        </patternFill>
      </fill>
    </dxf>
    <dxf>
      <font>
        <b/>
      </font>
      <fill>
        <patternFill>
          <fgColor theme="5"/>
        </patternFill>
      </fill>
    </dxf>
    <dxf>
      <font>
        <b/>
      </font>
      <fill>
        <patternFill>
          <fgColor theme="5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>
          <fgColor theme="5"/>
        </patternFill>
      </fill>
      <alignment horizontal="left"/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/>
      </font>
    </dxf>
    <dxf>
      <font>
        <b/>
      </font>
    </dxf>
    <dxf>
      <font>
        <b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0.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71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0.000"/>
    </dxf>
    <dxf>
      <numFmt numFmtId="170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000"/>
    </dxf>
    <dxf>
      <numFmt numFmtId="169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0"/>
    </dxf>
    <dxf>
      <numFmt numFmtId="168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 Project - Personal Monthly Expense Tracker.xlsx]Pivot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Analysis'!$A$4:$A$11</c:f>
              <c:strCache>
                <c:ptCount val="7"/>
                <c:pt idx="0">
                  <c:v>Entertainment</c:v>
                </c:pt>
                <c:pt idx="1">
                  <c:v>Food</c:v>
                </c:pt>
                <c:pt idx="2">
                  <c:v>Groceries</c:v>
                </c:pt>
                <c:pt idx="3">
                  <c:v>Health</c:v>
                </c:pt>
                <c:pt idx="4">
                  <c:v>Shopping</c:v>
                </c:pt>
                <c:pt idx="5">
                  <c:v>Transport</c:v>
                </c:pt>
                <c:pt idx="6">
                  <c:v>Utilities</c:v>
                </c:pt>
              </c:strCache>
            </c:strRef>
          </c:cat>
          <c:val>
            <c:numRef>
              <c:f>'Pivot Analysis'!$B$4:$B$11</c:f>
              <c:numCache>
                <c:formatCode>General</c:formatCode>
                <c:ptCount val="7"/>
                <c:pt idx="0">
                  <c:v>1049</c:v>
                </c:pt>
                <c:pt idx="1">
                  <c:v>950</c:v>
                </c:pt>
                <c:pt idx="2">
                  <c:v>1840</c:v>
                </c:pt>
                <c:pt idx="3">
                  <c:v>2000</c:v>
                </c:pt>
                <c:pt idx="4">
                  <c:v>4500</c:v>
                </c:pt>
                <c:pt idx="5">
                  <c:v>1130</c:v>
                </c:pt>
                <c:pt idx="6">
                  <c:v>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7-4D46-A580-4FBD64660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</xdr:row>
      <xdr:rowOff>3810</xdr:rowOff>
    </xdr:from>
    <xdr:to>
      <xdr:col>6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039DA-EB77-00A9-0613-E6FAA9E24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47.572819212961" createdVersion="8" refreshedVersion="8" minRefreshableVersion="3" recordCount="31" xr:uid="{7B25515E-201A-4504-A159-83CE401A7490}">
  <cacheSource type="worksheet">
    <worksheetSource ref="A1:H32" sheet="Oct Dataset"/>
  </cacheSource>
  <cacheFields count="8">
    <cacheField name="Date" numFmtId="14">
      <sharedItems containsSemiMixedTypes="0" containsNonDate="0" containsDate="1" containsString="0" minDate="2025-10-01T00:00:00" maxDate="2025-11-01T00:00:00"/>
    </cacheField>
    <cacheField name="Category" numFmtId="0">
      <sharedItems count="7">
        <s v="Food"/>
        <s v="Transport"/>
        <s v="Groceries"/>
        <s v="Utilities"/>
        <s v="Entertainment"/>
        <s v="Health"/>
        <s v="Shopping"/>
      </sharedItems>
    </cacheField>
    <cacheField name="Item" numFmtId="0">
      <sharedItems/>
    </cacheField>
    <cacheField name="Amount" numFmtId="0">
      <sharedItems containsSemiMixedTypes="0" containsString="0" containsNumber="1" containsInteger="1" minValue="50" maxValue="1800"/>
    </cacheField>
    <cacheField name="Payment Mode" numFmtId="0">
      <sharedItems/>
    </cacheField>
    <cacheField name="Planned Budget" numFmtId="0">
      <sharedItems containsSemiMixedTypes="0" containsString="0" containsNumber="1" containsInteger="1" minValue="1000" maxValue="5000"/>
    </cacheField>
    <cacheField name="Notes" numFmtId="0">
      <sharedItems containsBlank="1"/>
    </cacheField>
    <cacheField name="Expense Exce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10-01T00:00:00"/>
    <x v="0"/>
    <s v="Breakfast"/>
    <n v="120"/>
    <s v="Cash"/>
    <n v="5000"/>
    <s v="Hotel food"/>
    <s v="Within Budget"/>
  </r>
  <r>
    <d v="2025-10-02T00:00:00"/>
    <x v="1"/>
    <s v="Bus fare"/>
    <n v="50"/>
    <s v="Cash"/>
    <n v="2000"/>
    <s v="To office"/>
    <s v="Within Budget"/>
  </r>
  <r>
    <d v="2025-10-03T00:00:00"/>
    <x v="2"/>
    <s v="Vegetables"/>
    <n v="300"/>
    <s v="UPI"/>
    <n v="4000"/>
    <s v="Daily items"/>
    <s v="Within Budget"/>
  </r>
  <r>
    <d v="2025-10-04T00:00:00"/>
    <x v="3"/>
    <s v="Electricity Bill"/>
    <n v="900"/>
    <s v="Card"/>
    <n v="1500"/>
    <s v="Oct bill"/>
    <s v="Within Budget"/>
  </r>
  <r>
    <d v="2025-10-05T00:00:00"/>
    <x v="0"/>
    <s v="Lunch"/>
    <n v="150"/>
    <s v="UPI"/>
    <n v="5000"/>
    <s v="Office canteen"/>
    <s v="Within Budget"/>
  </r>
  <r>
    <d v="2025-10-06T00:00:00"/>
    <x v="4"/>
    <s v="Movie"/>
    <n v="250"/>
    <s v="Card"/>
    <n v="1500"/>
    <s v="Evening show"/>
    <s v="Within Budget"/>
  </r>
  <r>
    <d v="2025-10-07T00:00:00"/>
    <x v="5"/>
    <s v="Medicine"/>
    <n v="400"/>
    <s v="Cash"/>
    <n v="1000"/>
    <s v="Fever tablets"/>
    <s v="Within Budget"/>
  </r>
  <r>
    <d v="2025-10-08T00:00:00"/>
    <x v="1"/>
    <s v="Petrol"/>
    <n v="600"/>
    <s v="UPI"/>
    <n v="2000"/>
    <s v="Bike"/>
    <s v="Within Budget"/>
  </r>
  <r>
    <d v="2025-10-09T00:00:00"/>
    <x v="2"/>
    <s v="Milk"/>
    <n v="60"/>
    <s v="Cash"/>
    <n v="4000"/>
    <s v="Morning"/>
    <s v="Within Budget"/>
  </r>
  <r>
    <d v="2025-10-10T00:00:00"/>
    <x v="3"/>
    <s v="Water Bill"/>
    <n v="300"/>
    <s v="UPI"/>
    <n v="1500"/>
    <s v="Monthly"/>
    <s v="Within Budget"/>
  </r>
  <r>
    <d v="2025-10-11T00:00:00"/>
    <x v="0"/>
    <s v="Dinner"/>
    <n v="200"/>
    <s v="Cash"/>
    <n v="5000"/>
    <s v="Hotel"/>
    <s v="Within Budget"/>
  </r>
  <r>
    <d v="2025-10-12T00:00:00"/>
    <x v="6"/>
    <s v="Clothes"/>
    <n v="1200"/>
    <s v="Card"/>
    <n v="3000"/>
    <s v="Sale"/>
    <s v="Within Budget"/>
  </r>
  <r>
    <d v="2025-10-13T00:00:00"/>
    <x v="4"/>
    <s v="Netflix"/>
    <n v="499"/>
    <s v="UPI"/>
    <n v="1500"/>
    <s v="Monthly sub"/>
    <s v="Within Budget"/>
  </r>
  <r>
    <d v="2025-10-14T00:00:00"/>
    <x v="2"/>
    <s v="Snacks"/>
    <n v="250"/>
    <s v="Cash"/>
    <n v="4000"/>
    <s v="Home"/>
    <s v="Within Budget"/>
  </r>
  <r>
    <d v="2025-10-15T00:00:00"/>
    <x v="5"/>
    <s v="Gym"/>
    <n v="700"/>
    <s v="UPI"/>
    <n v="1000"/>
    <s v="Monthly"/>
    <s v="Within Budget"/>
  </r>
  <r>
    <d v="2025-10-16T00:00:00"/>
    <x v="1"/>
    <s v="Auto"/>
    <n v="120"/>
    <s v="Cash"/>
    <n v="2000"/>
    <s v="Market"/>
    <s v="Within Budget"/>
  </r>
  <r>
    <d v="2025-10-17T00:00:00"/>
    <x v="3"/>
    <s v="Internet"/>
    <n v="799"/>
    <s v="UPI"/>
    <n v="1500"/>
    <s v="WiFi"/>
    <s v="Within Budget"/>
  </r>
  <r>
    <d v="2025-10-18T00:00:00"/>
    <x v="0"/>
    <s v="Lunch"/>
    <n v="150"/>
    <s v="Cash"/>
    <n v="5000"/>
    <s v="Canteen"/>
    <s v="Within Budget"/>
  </r>
  <r>
    <d v="2025-10-19T00:00:00"/>
    <x v="2"/>
    <s v="Fruits"/>
    <n v="180"/>
    <s v="UPI"/>
    <n v="4000"/>
    <m/>
    <s v="Within Budget"/>
  </r>
  <r>
    <d v="2025-10-20T00:00:00"/>
    <x v="6"/>
    <s v="Shoes"/>
    <n v="1800"/>
    <s v="Card"/>
    <n v="3000"/>
    <s v="Offer"/>
    <s v="Within Budget"/>
  </r>
  <r>
    <d v="2025-10-21T00:00:00"/>
    <x v="5"/>
    <s v="Check-up"/>
    <n v="600"/>
    <s v="Cash"/>
    <n v="1000"/>
    <s v="Clinic"/>
    <s v="Within Budget"/>
  </r>
  <r>
    <d v="2025-10-22T00:00:00"/>
    <x v="0"/>
    <s v="Dinner"/>
    <n v="230"/>
    <s v="Cash"/>
    <n v="5000"/>
    <s v="With friends"/>
    <s v="Within Budget"/>
  </r>
  <r>
    <d v="2025-10-23T00:00:00"/>
    <x v="1"/>
    <s v="Bus"/>
    <n v="60"/>
    <s v="UPI"/>
    <n v="2000"/>
    <s v="Office"/>
    <s v="Within Budget"/>
  </r>
  <r>
    <d v="2025-10-24T00:00:00"/>
    <x v="4"/>
    <s v="Game"/>
    <n v="300"/>
    <s v="UPI"/>
    <n v="1500"/>
    <s v="Mobile game"/>
    <s v="Within Budget"/>
  </r>
  <r>
    <d v="2025-10-25T00:00:00"/>
    <x v="2"/>
    <s v="Spices"/>
    <n v="350"/>
    <s v="Cash"/>
    <n v="4000"/>
    <m/>
    <s v="Within Budget"/>
  </r>
  <r>
    <d v="2025-10-26T00:00:00"/>
    <x v="6"/>
    <s v="Watch"/>
    <n v="1500"/>
    <s v="Card"/>
    <n v="3000"/>
    <s v="Gift"/>
    <s v="Within Budget"/>
  </r>
  <r>
    <d v="2025-10-27T00:00:00"/>
    <x v="3"/>
    <s v="Gas Bill"/>
    <n v="950"/>
    <s v="UPI"/>
    <n v="1500"/>
    <s v="Cooking"/>
    <s v="Within Budget"/>
  </r>
  <r>
    <d v="2025-10-28T00:00:00"/>
    <x v="0"/>
    <s v="Breakfast"/>
    <n v="100"/>
    <s v="Cash"/>
    <n v="5000"/>
    <m/>
    <s v="Within Budget"/>
  </r>
  <r>
    <d v="2025-10-29T00:00:00"/>
    <x v="1"/>
    <s v="Cab"/>
    <n v="300"/>
    <s v="Card"/>
    <n v="2000"/>
    <s v="Office trip"/>
    <s v="Within Budget"/>
  </r>
  <r>
    <d v="2025-10-30T00:00:00"/>
    <x v="2"/>
    <s v="Rice"/>
    <n v="700"/>
    <s v="UPI"/>
    <n v="4000"/>
    <s v="Monthly stock"/>
    <s v="Within Budget"/>
  </r>
  <r>
    <d v="2025-10-31T00:00:00"/>
    <x v="5"/>
    <s v="Medicine"/>
    <n v="300"/>
    <s v="Cash"/>
    <n v="1000"/>
    <s v="Cold tablets"/>
    <s v="Within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21693-3638-4B67-93B0-1225EECAA387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F3:F4" firstHeaderRow="1" firstDataRow="1" firstDataCol="0"/>
  <pivotFields count="8">
    <pivotField numFmtId="14" showAll="0"/>
    <pivotField showAll="0" sortType="ascending">
      <items count="8">
        <item x="4"/>
        <item x="0"/>
        <item x="2"/>
        <item x="5"/>
        <item x="6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in of Amount" fld="3" subtotal="min" baseField="0" baseItem="0" numFmtId="1"/>
  </dataFields>
  <formats count="22">
    <format dxfId="396">
      <pivotArea type="all" dataOnly="0" outline="0" fieldPosition="0"/>
    </format>
    <format dxfId="397">
      <pivotArea outline="0" collapsedLevelsAreSubtotals="1" fieldPosition="0"/>
    </format>
    <format dxfId="398">
      <pivotArea field="1" type="button" dataOnly="0" labelOnly="1" outline="0"/>
    </format>
    <format dxfId="399">
      <pivotArea dataOnly="0" labelOnly="1" grandRow="1" outline="0" fieldPosition="0"/>
    </format>
    <format dxfId="400">
      <pivotArea dataOnly="0" labelOnly="1" outline="0" axis="axisValues" fieldPosition="0"/>
    </format>
    <format dxfId="401">
      <pivotArea outline="0" collapsedLevelsAreSubtotals="1" fieldPosition="0"/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dataOnly="0" labelOnly="1" outline="0" axis="axisValues" fieldPosition="0"/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dataOnly="0" labelOnly="1" outline="0" axis="axisValues" fieldPosition="0"/>
    </format>
    <format dxfId="322">
      <pivotArea dataOnly="0" labelOnly="1" outline="0" axis="axisValues" fieldPosition="0"/>
    </format>
    <format dxfId="205">
      <pivotArea outline="0" collapsedLevelsAreSubtotals="1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dataOnly="0" labelOnly="1" outline="0" axis="axisValues" fieldPosition="0"/>
    </format>
    <format dxfId="55">
      <pivotArea dataOnly="0" labelOnly="1" outline="0" axis="axisValues" fieldPosition="0"/>
    </format>
    <format dxfId="39">
      <pivotArea dataOnly="0" labelOnly="1" outline="0" axis="axisValues" fieldPosition="0"/>
    </format>
    <format dxfId="31">
      <pivotArea dataOnly="0" labelOnly="1" outline="0" axis="axisValues" fieldPosition="0"/>
    </format>
    <format dxfId="23">
      <pivotArea outline="0" collapsedLevelsAreSubtotals="1" fieldPosition="0"/>
    </format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0BB4B-6E24-49F3-AD94-F47CDD9003C7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E3:E4" firstHeaderRow="1" firstDataRow="1" firstDataCol="0"/>
  <pivotFields count="8">
    <pivotField numFmtId="14" showAll="0"/>
    <pivotField showAll="0" sortType="ascending">
      <items count="8">
        <item x="4"/>
        <item x="0"/>
        <item x="2"/>
        <item x="5"/>
        <item x="6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ax of Amount" fld="3" subtotal="max" baseField="0" baseItem="0" numFmtId="1"/>
  </dataFields>
  <formats count="22">
    <format dxfId="414">
      <pivotArea type="all" dataOnly="0" outline="0" fieldPosition="0"/>
    </format>
    <format dxfId="415">
      <pivotArea outline="0" collapsedLevelsAreSubtotals="1" fieldPosition="0"/>
    </format>
    <format dxfId="416">
      <pivotArea field="1" type="button" dataOnly="0" labelOnly="1" outline="0"/>
    </format>
    <format dxfId="417">
      <pivotArea dataOnly="0" labelOnly="1" grandRow="1" outline="0" fieldPosition="0"/>
    </format>
    <format dxfId="418">
      <pivotArea dataOnly="0" labelOnly="1" outline="0" axis="axisValues" fieldPosition="0"/>
    </format>
    <format dxfId="419">
      <pivotArea outline="0" collapsedLevelsAreSubtotals="1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dataOnly="0" labelOnly="1" outline="0" axis="axisValues" fieldPosition="0"/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dataOnly="0" labelOnly="1" outline="0" axis="axisValues" fieldPosition="0"/>
    </format>
    <format dxfId="324">
      <pivotArea dataOnly="0" labelOnly="1" outline="0" axis="axisValues" fieldPosition="0"/>
    </format>
    <format dxfId="206">
      <pivotArea outline="0" collapsedLevelsAreSubtotals="1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dataOnly="0" labelOnly="1" outline="0" axis="axisValues" fieldPosition="0"/>
    </format>
    <format dxfId="52">
      <pivotArea dataOnly="0" labelOnly="1" outline="0" axis="axisValues" fieldPosition="0"/>
    </format>
    <format dxfId="37">
      <pivotArea dataOnly="0" labelOnly="1" outline="0" axis="axisValues" fieldPosition="0"/>
    </format>
    <format dxfId="29">
      <pivotArea dataOnly="0" labelOnly="1" outline="0" axis="axisValues" fieldPosition="0"/>
    </format>
    <format dxfId="22">
      <pivotArea outline="0" collapsedLevelsAreSubtotals="1" fieldPosition="0"/>
    </format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5B4DB-80ED-440D-96F9-2AB7C73100C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D3:D4" firstHeaderRow="1" firstDataRow="1" firstDataCol="0"/>
  <pivotFields count="8">
    <pivotField numFmtId="14" showAll="0"/>
    <pivotField showAll="0" sortType="ascending">
      <items count="8">
        <item x="4"/>
        <item x="0"/>
        <item x="2"/>
        <item x="5"/>
        <item x="6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mount" fld="3" subtotal="average" baseField="0" baseItem="0" numFmtId="1"/>
  </dataFields>
  <formats count="23">
    <format dxfId="420">
      <pivotArea type="all" dataOnly="0" outline="0" fieldPosition="0"/>
    </format>
    <format dxfId="421">
      <pivotArea outline="0" collapsedLevelsAreSubtotals="1" fieldPosition="0"/>
    </format>
    <format dxfId="422">
      <pivotArea field="1" type="button" dataOnly="0" labelOnly="1" outline="0"/>
    </format>
    <format dxfId="423">
      <pivotArea dataOnly="0" labelOnly="1" grandRow="1" outline="0" fieldPosition="0"/>
    </format>
    <format dxfId="424">
      <pivotArea dataOnly="0" labelOnly="1" outline="0" axis="axisValues" fieldPosition="0"/>
    </format>
    <format dxfId="425">
      <pivotArea outline="0" collapsedLevelsAreSubtotals="1" fieldPosition="0"/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dataOnly="0" labelOnly="1" outline="0" axis="axisValues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dataOnly="0" labelOnly="1" outline="0" axis="axisValues" fieldPosition="0"/>
    </format>
    <format dxfId="326">
      <pivotArea dataOnly="0" labelOnly="1" outline="0" axis="axisValues" fieldPosition="0"/>
    </format>
    <format dxfId="318">
      <pivotArea outline="0" collapsedLevelsAreSubtotals="1" fieldPosition="0"/>
    </format>
    <format dxfId="208">
      <pivotArea outline="0" collapsedLevelsAreSubtotals="1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dataOnly="0" labelOnly="1" outline="0" axis="axisValues" fieldPosition="0"/>
    </format>
    <format dxfId="49">
      <pivotArea dataOnly="0" labelOnly="1" outline="0" axis="axisValues" fieldPosition="0"/>
    </format>
    <format dxfId="35">
      <pivotArea dataOnly="0" labelOnly="1" outline="0" axis="axisValues" fieldPosition="0"/>
    </format>
    <format dxfId="27">
      <pivotArea dataOnly="0" labelOnly="1" outline="0" axis="axisValues" fieldPosition="0"/>
    </format>
    <format dxfId="21">
      <pivotArea outline="0" collapsedLevelsAreSubtotals="1" fieldPosition="0"/>
    </format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2B4F9-626A-40EE-A4A9-B8D5A51AFD6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C3:C4" firstHeaderRow="1" firstDataRow="1" firstDataCol="0"/>
  <pivotFields count="8">
    <pivotField numFmtId="14" showAll="0"/>
    <pivotField showAll="0" sortType="ascending">
      <items count="8">
        <item x="4"/>
        <item x="0"/>
        <item x="2"/>
        <item x="5"/>
        <item x="6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pend" fld="3" baseField="0" baseItem="0"/>
  </dataFields>
  <formats count="21">
    <format dxfId="426">
      <pivotArea type="all" dataOnly="0" outline="0" fieldPosition="0"/>
    </format>
    <format dxfId="427">
      <pivotArea outline="0" collapsedLevelsAreSubtotals="1" fieldPosition="0"/>
    </format>
    <format dxfId="428">
      <pivotArea field="1" type="button" dataOnly="0" labelOnly="1" outline="0"/>
    </format>
    <format dxfId="429">
      <pivotArea dataOnly="0" labelOnly="1" grandRow="1" outline="0" fieldPosition="0"/>
    </format>
    <format dxfId="430">
      <pivotArea dataOnly="0" labelOnly="1" outline="0" axis="axisValues" fieldPosition="0"/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dataOnly="0" labelOnly="1" outline="0" axis="axisValues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dataOnly="0" labelOnly="1" outline="0" axis="axisValues" fieldPosition="0"/>
    </format>
    <format dxfId="320">
      <pivotArea outline="0" collapsedLevelsAreSubtotals="1" fieldPosition="0"/>
    </format>
    <format dxfId="319">
      <pivotArea outline="0" collapsedLevelsAreSubtotals="1" fieldPosition="0"/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dataOnly="0" labelOnly="1" outline="0" axis="axisValues" fieldPosition="0"/>
    </format>
    <format dxfId="46">
      <pivotArea dataOnly="0" labelOnly="1" outline="0" axis="axisValues" fieldPosition="0"/>
    </format>
    <format dxfId="33">
      <pivotArea dataOnly="0" labelOnly="1" outline="0" axis="axisValues" fieldPosition="0"/>
    </format>
    <format dxfId="25">
      <pivotArea dataOnly="0" labelOnly="1" outline="0" axis="axisValues" fieldPosition="0"/>
    </format>
    <format dxfId="20">
      <pivotArea outline="0" collapsedLevelsAreSubtotals="1" fieldPosition="0"/>
    </format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83C2B-CE47-41AA-9FD0-673F352EABB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11" firstHeaderRow="1" firstDataRow="1" firstDataCol="1"/>
  <pivotFields count="8">
    <pivotField numFmtId="14" showAll="0"/>
    <pivotField axis="axisRow" showAll="0" sortType="ascending">
      <items count="8">
        <item x="4"/>
        <item x="0"/>
        <item x="2"/>
        <item x="5"/>
        <item x="6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mounts" fld="3" baseField="0" baseItem="0"/>
  </dataFields>
  <formats count="42">
    <format dxfId="489">
      <pivotArea type="all" dataOnly="0" outline="0" fieldPosition="0"/>
    </format>
    <format dxfId="490">
      <pivotArea outline="0" collapsedLevelsAreSubtotals="1" fieldPosition="0"/>
    </format>
    <format dxfId="491">
      <pivotArea field="1" type="button" dataOnly="0" labelOnly="1" outline="0" axis="axisRow" fieldPosition="0"/>
    </format>
    <format dxfId="492">
      <pivotArea dataOnly="0" labelOnly="1" fieldPosition="0">
        <references count="1">
          <reference field="1" count="0"/>
        </references>
      </pivotArea>
    </format>
    <format dxfId="493">
      <pivotArea dataOnly="0" labelOnly="1" grandRow="1" outline="0" fieldPosition="0"/>
    </format>
    <format dxfId="494">
      <pivotArea dataOnly="0" labelOnly="1" outline="0" axis="axisValues" fieldPosition="0"/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field="1" type="button" dataOnly="0" labelOnly="1" outline="0" axis="axisRow" fieldPosition="0"/>
    </format>
    <format dxfId="364">
      <pivotArea dataOnly="0" labelOnly="1" fieldPosition="0">
        <references count="1">
          <reference field="1" count="0"/>
        </references>
      </pivotArea>
    </format>
    <format dxfId="363">
      <pivotArea dataOnly="0" labelOnly="1" grandRow="1" outline="0" fieldPosition="0"/>
    </format>
    <format dxfId="362">
      <pivotArea dataOnly="0" labelOnly="1" outline="0" axis="axisValues" fieldPosition="0"/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field="1" type="button" dataOnly="0" labelOnly="1" outline="0" axis="axisRow" fieldPosition="0"/>
    </format>
    <format dxfId="341">
      <pivotArea dataOnly="0" labelOnly="1" fieldPosition="0">
        <references count="1">
          <reference field="1" count="0"/>
        </references>
      </pivotArea>
    </format>
    <format dxfId="340">
      <pivotArea dataOnly="0" labelOnly="1" grandRow="1" outline="0" fieldPosition="0"/>
    </format>
    <format dxfId="339">
      <pivotArea dataOnly="0" labelOnly="1" outline="0" axis="axisValues" fieldPosition="0"/>
    </format>
    <format dxfId="337">
      <pivotArea field="1" type="button" dataOnly="0" labelOnly="1" outline="0" axis="axisRow" fieldPosition="0"/>
    </format>
    <format dxfId="336">
      <pivotArea dataOnly="0" labelOnly="1" outline="0" axis="axisValues" fieldPosition="0"/>
    </format>
    <format dxfId="334">
      <pivotArea outline="0" collapsedLevelsAreSubtotals="1" fieldPosition="0"/>
    </format>
    <format dxfId="333">
      <pivotArea dataOnly="0" labelOnly="1" fieldPosition="0">
        <references count="1">
          <reference field="1" count="0"/>
        </references>
      </pivotArea>
    </format>
    <format dxfId="332">
      <pivotArea dataOnly="0" labelOnly="1" grandRow="1" outline="0" fieldPosition="0"/>
    </format>
    <format dxfId="331">
      <pivotArea outline="0" collapsedLevelsAreSubtotals="1" fieldPosition="0"/>
    </format>
    <format dxfId="330">
      <pivotArea dataOnly="0" labelOnly="1" fieldPosition="0">
        <references count="1">
          <reference field="1" count="0"/>
        </references>
      </pivotArea>
    </format>
    <format dxfId="329">
      <pivotArea dataOnly="0" labelOnly="1" grandRow="1" outline="0" fieldPosition="0"/>
    </format>
    <format dxfId="328">
      <pivotArea grandRow="1" outline="0" collapsedLevelsAreSubtotals="1" fieldPosition="0"/>
    </format>
    <format dxfId="327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2">
      <pivotArea field="1" type="button" dataOnly="0" labelOnly="1" outline="0" axis="axisRow" fieldPosition="0"/>
    </format>
    <format dxfId="111">
      <pivotArea dataOnly="0" labelOnly="1" outline="0" axis="axisValues" fieldPosition="0"/>
    </format>
    <format dxfId="109">
      <pivotArea dataOnly="0" labelOnly="1" fieldPosition="0">
        <references count="1">
          <reference field="1" count="0"/>
        </references>
      </pivotArea>
    </format>
    <format dxfId="104">
      <pivotArea dataOnly="0" labelOnly="1" fieldPosition="0">
        <references count="1">
          <reference field="1" count="0"/>
        </references>
      </pivotArea>
    </format>
    <format dxfId="99">
      <pivotArea collapsedLevelsAreSubtotals="1" fieldPosition="0">
        <references count="1">
          <reference field="1" count="0"/>
        </references>
      </pivotArea>
    </format>
    <format dxfId="96">
      <pivotArea dataOnly="0" grandRow="1" fieldPosition="0"/>
    </format>
    <format dxfId="44">
      <pivotArea field="1" type="button" dataOnly="0" labelOnly="1" outline="0" axis="axisRow" fieldPosition="0"/>
    </format>
    <format dxfId="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L19" sqref="L19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1.88671875" bestFit="1" customWidth="1"/>
    <col min="4" max="4" width="7.88671875" bestFit="1" customWidth="1"/>
    <col min="5" max="5" width="14.109375" bestFit="1" customWidth="1"/>
    <col min="6" max="6" width="14.44140625" bestFit="1" customWidth="1"/>
    <col min="7" max="7" width="13.109375" bestFit="1" customWidth="1"/>
    <col min="8" max="8" width="14" bestFit="1" customWidth="1"/>
    <col min="10" max="10" width="14.33203125" bestFit="1" customWidth="1"/>
    <col min="11" max="11" width="13.77734375" bestFit="1" customWidth="1"/>
    <col min="12" max="12" width="14.6640625" bestFit="1" customWidth="1"/>
    <col min="13" max="13" width="14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</v>
      </c>
      <c r="J1" s="3" t="s">
        <v>72</v>
      </c>
      <c r="K1" s="1" t="s">
        <v>71</v>
      </c>
      <c r="L1" s="3" t="s">
        <v>73</v>
      </c>
      <c r="M1" s="3" t="s">
        <v>74</v>
      </c>
    </row>
    <row r="2" spans="1:13" x14ac:dyDescent="0.3">
      <c r="A2" s="6">
        <v>45931</v>
      </c>
      <c r="B2" s="2" t="s">
        <v>7</v>
      </c>
      <c r="C2" s="2" t="s">
        <v>8</v>
      </c>
      <c r="D2" s="2">
        <v>120</v>
      </c>
      <c r="E2" s="2" t="s">
        <v>9</v>
      </c>
      <c r="F2" s="2">
        <v>5000</v>
      </c>
      <c r="G2" s="2" t="s">
        <v>10</v>
      </c>
      <c r="H2" s="4" t="str">
        <f>IF(D2&gt;F2,"Over Budget","Within Budget")</f>
        <v>Within Budget</v>
      </c>
      <c r="J2" s="5">
        <f>SUM(D2:D32)</f>
        <v>14418</v>
      </c>
      <c r="K2" s="5">
        <f>AVERAGE(D2:D32)</f>
        <v>465.09677419354841</v>
      </c>
      <c r="L2" s="5">
        <f>MAX(D2:D32)</f>
        <v>1800</v>
      </c>
      <c r="M2" s="5">
        <f>MIN(D2:D32)</f>
        <v>50</v>
      </c>
    </row>
    <row r="3" spans="1:13" x14ac:dyDescent="0.3">
      <c r="A3" s="6">
        <v>45932</v>
      </c>
      <c r="B3" s="2" t="s">
        <v>11</v>
      </c>
      <c r="C3" s="2" t="s">
        <v>12</v>
      </c>
      <c r="D3" s="2">
        <v>50</v>
      </c>
      <c r="E3" s="2" t="s">
        <v>9</v>
      </c>
      <c r="F3" s="2">
        <v>2000</v>
      </c>
      <c r="G3" s="2" t="s">
        <v>13</v>
      </c>
      <c r="H3" s="4" t="str">
        <f t="shared" ref="H3:H32" si="0">IF(D3&gt;F3,"Over Budget","Within Budget")</f>
        <v>Within Budget</v>
      </c>
    </row>
    <row r="4" spans="1:13" x14ac:dyDescent="0.3">
      <c r="A4" s="6">
        <v>45933</v>
      </c>
      <c r="B4" s="2" t="s">
        <v>14</v>
      </c>
      <c r="C4" s="2" t="s">
        <v>15</v>
      </c>
      <c r="D4" s="2">
        <v>300</v>
      </c>
      <c r="E4" s="2" t="s">
        <v>16</v>
      </c>
      <c r="F4" s="2">
        <v>4000</v>
      </c>
      <c r="G4" s="2" t="s">
        <v>17</v>
      </c>
      <c r="H4" s="4" t="str">
        <f t="shared" si="0"/>
        <v>Within Budget</v>
      </c>
    </row>
    <row r="5" spans="1:13" x14ac:dyDescent="0.3">
      <c r="A5" s="6">
        <v>45934</v>
      </c>
      <c r="B5" s="2" t="s">
        <v>18</v>
      </c>
      <c r="C5" s="2" t="s">
        <v>19</v>
      </c>
      <c r="D5" s="2">
        <v>900</v>
      </c>
      <c r="E5" s="2" t="s">
        <v>20</v>
      </c>
      <c r="F5" s="2">
        <v>1500</v>
      </c>
      <c r="G5" s="2" t="s">
        <v>21</v>
      </c>
      <c r="H5" s="4" t="str">
        <f t="shared" si="0"/>
        <v>Within Budget</v>
      </c>
      <c r="J5" s="3" t="s">
        <v>7</v>
      </c>
      <c r="K5" s="1" t="s">
        <v>11</v>
      </c>
      <c r="L5" s="3" t="s">
        <v>38</v>
      </c>
    </row>
    <row r="6" spans="1:13" x14ac:dyDescent="0.3">
      <c r="A6" s="6">
        <v>45935</v>
      </c>
      <c r="B6" s="2" t="s">
        <v>7</v>
      </c>
      <c r="C6" s="2" t="s">
        <v>22</v>
      </c>
      <c r="D6" s="2">
        <v>150</v>
      </c>
      <c r="E6" s="2" t="s">
        <v>16</v>
      </c>
      <c r="F6" s="2">
        <v>5000</v>
      </c>
      <c r="G6" s="2" t="s">
        <v>23</v>
      </c>
      <c r="H6" s="4" t="str">
        <f t="shared" si="0"/>
        <v>Within Budget</v>
      </c>
      <c r="J6" s="5">
        <f>SUMIF($B$2:$B$32,J5,$D$2:$D$32)</f>
        <v>950</v>
      </c>
      <c r="K6" s="5">
        <f>SUMIF($B$2:$B$32,K5,$D$2:$D$32)</f>
        <v>1130</v>
      </c>
      <c r="L6" s="5">
        <f>SUMIF($B$2:$B$32,L5,$D$2:$D$32)</f>
        <v>4500</v>
      </c>
    </row>
    <row r="7" spans="1:13" x14ac:dyDescent="0.3">
      <c r="A7" s="6">
        <v>45936</v>
      </c>
      <c r="B7" s="2" t="s">
        <v>24</v>
      </c>
      <c r="C7" s="2" t="s">
        <v>25</v>
      </c>
      <c r="D7" s="2">
        <v>250</v>
      </c>
      <c r="E7" s="2" t="s">
        <v>20</v>
      </c>
      <c r="F7" s="2">
        <v>1500</v>
      </c>
      <c r="G7" s="2" t="s">
        <v>26</v>
      </c>
      <c r="H7" s="4" t="str">
        <f t="shared" si="0"/>
        <v>Within Budget</v>
      </c>
    </row>
    <row r="8" spans="1:13" x14ac:dyDescent="0.3">
      <c r="A8" s="6">
        <v>45937</v>
      </c>
      <c r="B8" s="2" t="s">
        <v>27</v>
      </c>
      <c r="C8" s="2" t="s">
        <v>28</v>
      </c>
      <c r="D8" s="2">
        <v>400</v>
      </c>
      <c r="E8" s="2" t="s">
        <v>9</v>
      </c>
      <c r="F8" s="2">
        <v>1000</v>
      </c>
      <c r="G8" s="2" t="s">
        <v>29</v>
      </c>
      <c r="H8" s="4" t="str">
        <f t="shared" si="0"/>
        <v>Within Budget</v>
      </c>
      <c r="J8" s="3" t="s">
        <v>9</v>
      </c>
      <c r="K8" s="1" t="s">
        <v>16</v>
      </c>
      <c r="L8" s="3" t="s">
        <v>20</v>
      </c>
    </row>
    <row r="9" spans="1:13" x14ac:dyDescent="0.3">
      <c r="A9" s="6">
        <v>45938</v>
      </c>
      <c r="B9" s="2" t="s">
        <v>11</v>
      </c>
      <c r="C9" s="2" t="s">
        <v>30</v>
      </c>
      <c r="D9" s="2">
        <v>600</v>
      </c>
      <c r="E9" s="2" t="s">
        <v>16</v>
      </c>
      <c r="F9" s="2">
        <v>2000</v>
      </c>
      <c r="G9" s="2" t="s">
        <v>31</v>
      </c>
      <c r="H9" s="4" t="str">
        <f t="shared" si="0"/>
        <v>Within Budget</v>
      </c>
      <c r="J9" s="5">
        <f>COUNTIF($E$2:$E$32,J8)</f>
        <v>13</v>
      </c>
      <c r="K9" s="5">
        <f>COUNTIF($E$2:$E$32,K8)</f>
        <v>12</v>
      </c>
      <c r="L9" s="5">
        <f>COUNTIF($E$2:$E$32,L8)</f>
        <v>6</v>
      </c>
    </row>
    <row r="10" spans="1:13" x14ac:dyDescent="0.3">
      <c r="A10" s="6">
        <v>45939</v>
      </c>
      <c r="B10" s="2" t="s">
        <v>14</v>
      </c>
      <c r="C10" s="2" t="s">
        <v>32</v>
      </c>
      <c r="D10" s="2">
        <v>60</v>
      </c>
      <c r="E10" s="2" t="s">
        <v>9</v>
      </c>
      <c r="F10" s="2">
        <v>4000</v>
      </c>
      <c r="G10" s="2" t="s">
        <v>33</v>
      </c>
      <c r="H10" s="4" t="str">
        <f t="shared" si="0"/>
        <v>Within Budget</v>
      </c>
    </row>
    <row r="11" spans="1:13" x14ac:dyDescent="0.3">
      <c r="A11" s="6">
        <v>45940</v>
      </c>
      <c r="B11" s="2" t="s">
        <v>18</v>
      </c>
      <c r="C11" s="2" t="s">
        <v>34</v>
      </c>
      <c r="D11" s="2">
        <v>300</v>
      </c>
      <c r="E11" s="2" t="s">
        <v>16</v>
      </c>
      <c r="F11" s="2">
        <v>1500</v>
      </c>
      <c r="G11" s="2" t="s">
        <v>35</v>
      </c>
      <c r="H11" s="4" t="str">
        <f t="shared" si="0"/>
        <v>Within Budget</v>
      </c>
      <c r="J11" s="3" t="s">
        <v>5</v>
      </c>
      <c r="K11" s="1" t="s">
        <v>76</v>
      </c>
      <c r="L11" s="3" t="s">
        <v>75</v>
      </c>
    </row>
    <row r="12" spans="1:13" x14ac:dyDescent="0.3">
      <c r="A12" s="6">
        <v>45941</v>
      </c>
      <c r="B12" s="2" t="s">
        <v>7</v>
      </c>
      <c r="C12" s="2" t="s">
        <v>36</v>
      </c>
      <c r="D12" s="2">
        <v>200</v>
      </c>
      <c r="E12" s="2" t="s">
        <v>9</v>
      </c>
      <c r="F12" s="2">
        <v>5000</v>
      </c>
      <c r="G12" s="2" t="s">
        <v>37</v>
      </c>
      <c r="H12" s="4" t="str">
        <f t="shared" si="0"/>
        <v>Within Budget</v>
      </c>
      <c r="J12" s="5">
        <f>SUM(F2:F32)</f>
        <v>87500</v>
      </c>
      <c r="K12" s="5">
        <f>SUM(D2:D32)</f>
        <v>14418</v>
      </c>
      <c r="L12" s="5">
        <f>J12-K12</f>
        <v>73082</v>
      </c>
    </row>
    <row r="13" spans="1:13" x14ac:dyDescent="0.3">
      <c r="A13" s="6">
        <v>45942</v>
      </c>
      <c r="B13" s="2" t="s">
        <v>38</v>
      </c>
      <c r="C13" s="2" t="s">
        <v>39</v>
      </c>
      <c r="D13" s="2">
        <v>1200</v>
      </c>
      <c r="E13" s="2" t="s">
        <v>20</v>
      </c>
      <c r="F13" s="2">
        <v>3000</v>
      </c>
      <c r="G13" s="2" t="s">
        <v>40</v>
      </c>
      <c r="H13" s="4" t="str">
        <f t="shared" si="0"/>
        <v>Within Budget</v>
      </c>
    </row>
    <row r="14" spans="1:13" x14ac:dyDescent="0.3">
      <c r="A14" s="6">
        <v>45943</v>
      </c>
      <c r="B14" s="2" t="s">
        <v>24</v>
      </c>
      <c r="C14" s="2" t="s">
        <v>41</v>
      </c>
      <c r="D14" s="2">
        <v>499</v>
      </c>
      <c r="E14" s="2" t="s">
        <v>16</v>
      </c>
      <c r="F14" s="2">
        <v>1500</v>
      </c>
      <c r="G14" s="2" t="s">
        <v>42</v>
      </c>
      <c r="H14" s="4" t="str">
        <f t="shared" si="0"/>
        <v>Within Budget</v>
      </c>
      <c r="J14" s="3" t="s">
        <v>78</v>
      </c>
    </row>
    <row r="15" spans="1:13" x14ac:dyDescent="0.3">
      <c r="A15" s="6">
        <v>45944</v>
      </c>
      <c r="B15" s="2" t="s">
        <v>14</v>
      </c>
      <c r="C15" s="2" t="s">
        <v>43</v>
      </c>
      <c r="D15" s="2">
        <v>250</v>
      </c>
      <c r="E15" s="2" t="s">
        <v>9</v>
      </c>
      <c r="F15" s="2">
        <v>4000</v>
      </c>
      <c r="G15" s="2" t="s">
        <v>44</v>
      </c>
      <c r="H15" s="4" t="str">
        <f t="shared" si="0"/>
        <v>Within Budget</v>
      </c>
      <c r="J15" s="5">
        <f>COUNTA(_xlfn.UNIQUE(B2:B32))</f>
        <v>7</v>
      </c>
    </row>
    <row r="16" spans="1:13" x14ac:dyDescent="0.3">
      <c r="A16" s="6">
        <v>45945</v>
      </c>
      <c r="B16" s="2" t="s">
        <v>27</v>
      </c>
      <c r="C16" s="2" t="s">
        <v>45</v>
      </c>
      <c r="D16" s="2">
        <v>700</v>
      </c>
      <c r="E16" s="2" t="s">
        <v>16</v>
      </c>
      <c r="F16" s="2">
        <v>1000</v>
      </c>
      <c r="G16" s="2" t="s">
        <v>35</v>
      </c>
      <c r="H16" s="4" t="str">
        <f t="shared" si="0"/>
        <v>Within Budget</v>
      </c>
    </row>
    <row r="17" spans="1:8" x14ac:dyDescent="0.3">
      <c r="A17" s="6">
        <v>45946</v>
      </c>
      <c r="B17" s="2" t="s">
        <v>11</v>
      </c>
      <c r="C17" s="2" t="s">
        <v>46</v>
      </c>
      <c r="D17" s="2">
        <v>120</v>
      </c>
      <c r="E17" s="2" t="s">
        <v>9</v>
      </c>
      <c r="F17" s="2">
        <v>2000</v>
      </c>
      <c r="G17" s="2" t="s">
        <v>47</v>
      </c>
      <c r="H17" s="4" t="str">
        <f t="shared" si="0"/>
        <v>Within Budget</v>
      </c>
    </row>
    <row r="18" spans="1:8" x14ac:dyDescent="0.3">
      <c r="A18" s="6">
        <v>45947</v>
      </c>
      <c r="B18" s="2" t="s">
        <v>18</v>
      </c>
      <c r="C18" s="2" t="s">
        <v>48</v>
      </c>
      <c r="D18" s="2">
        <v>799</v>
      </c>
      <c r="E18" s="2" t="s">
        <v>16</v>
      </c>
      <c r="F18" s="2">
        <v>1500</v>
      </c>
      <c r="G18" s="2" t="s">
        <v>49</v>
      </c>
      <c r="H18" s="4" t="str">
        <f t="shared" si="0"/>
        <v>Within Budget</v>
      </c>
    </row>
    <row r="19" spans="1:8" x14ac:dyDescent="0.3">
      <c r="A19" s="6">
        <v>45948</v>
      </c>
      <c r="B19" s="2" t="s">
        <v>7</v>
      </c>
      <c r="C19" s="2" t="s">
        <v>22</v>
      </c>
      <c r="D19" s="2">
        <v>150</v>
      </c>
      <c r="E19" s="2" t="s">
        <v>9</v>
      </c>
      <c r="F19" s="2">
        <v>5000</v>
      </c>
      <c r="G19" s="2" t="s">
        <v>50</v>
      </c>
      <c r="H19" s="4" t="str">
        <f t="shared" si="0"/>
        <v>Within Budget</v>
      </c>
    </row>
    <row r="20" spans="1:8" x14ac:dyDescent="0.3">
      <c r="A20" s="6">
        <v>45949</v>
      </c>
      <c r="B20" s="2" t="s">
        <v>14</v>
      </c>
      <c r="C20" s="2" t="s">
        <v>51</v>
      </c>
      <c r="D20" s="2">
        <v>180</v>
      </c>
      <c r="E20" s="2" t="s">
        <v>16</v>
      </c>
      <c r="F20" s="2">
        <v>4000</v>
      </c>
      <c r="G20" s="2"/>
      <c r="H20" s="4" t="str">
        <f t="shared" si="0"/>
        <v>Within Budget</v>
      </c>
    </row>
    <row r="21" spans="1:8" x14ac:dyDescent="0.3">
      <c r="A21" s="6">
        <v>45950</v>
      </c>
      <c r="B21" s="2" t="s">
        <v>38</v>
      </c>
      <c r="C21" s="2" t="s">
        <v>52</v>
      </c>
      <c r="D21" s="2">
        <v>1800</v>
      </c>
      <c r="E21" s="2" t="s">
        <v>20</v>
      </c>
      <c r="F21" s="2">
        <v>3000</v>
      </c>
      <c r="G21" s="2" t="s">
        <v>53</v>
      </c>
      <c r="H21" s="4" t="str">
        <f t="shared" si="0"/>
        <v>Within Budget</v>
      </c>
    </row>
    <row r="22" spans="1:8" x14ac:dyDescent="0.3">
      <c r="A22" s="6">
        <v>45951</v>
      </c>
      <c r="B22" s="2" t="s">
        <v>27</v>
      </c>
      <c r="C22" s="2" t="s">
        <v>54</v>
      </c>
      <c r="D22" s="2">
        <v>600</v>
      </c>
      <c r="E22" s="2" t="s">
        <v>9</v>
      </c>
      <c r="F22" s="2">
        <v>1000</v>
      </c>
      <c r="G22" s="2" t="s">
        <v>55</v>
      </c>
      <c r="H22" s="4" t="str">
        <f t="shared" si="0"/>
        <v>Within Budget</v>
      </c>
    </row>
    <row r="23" spans="1:8" x14ac:dyDescent="0.3">
      <c r="A23" s="6">
        <v>45952</v>
      </c>
      <c r="B23" s="2" t="s">
        <v>7</v>
      </c>
      <c r="C23" s="2" t="s">
        <v>36</v>
      </c>
      <c r="D23" s="2">
        <v>230</v>
      </c>
      <c r="E23" s="2" t="s">
        <v>9</v>
      </c>
      <c r="F23" s="2">
        <v>5000</v>
      </c>
      <c r="G23" s="2" t="s">
        <v>56</v>
      </c>
      <c r="H23" s="4" t="str">
        <f t="shared" si="0"/>
        <v>Within Budget</v>
      </c>
    </row>
    <row r="24" spans="1:8" x14ac:dyDescent="0.3">
      <c r="A24" s="6">
        <v>45953</v>
      </c>
      <c r="B24" s="2" t="s">
        <v>11</v>
      </c>
      <c r="C24" s="2" t="s">
        <v>57</v>
      </c>
      <c r="D24" s="2">
        <v>60</v>
      </c>
      <c r="E24" s="2" t="s">
        <v>16</v>
      </c>
      <c r="F24" s="2">
        <v>2000</v>
      </c>
      <c r="G24" s="2" t="s">
        <v>58</v>
      </c>
      <c r="H24" s="4" t="str">
        <f t="shared" si="0"/>
        <v>Within Budget</v>
      </c>
    </row>
    <row r="25" spans="1:8" x14ac:dyDescent="0.3">
      <c r="A25" s="6">
        <v>45954</v>
      </c>
      <c r="B25" s="2" t="s">
        <v>24</v>
      </c>
      <c r="C25" s="2" t="s">
        <v>59</v>
      </c>
      <c r="D25" s="2">
        <v>300</v>
      </c>
      <c r="E25" s="2" t="s">
        <v>16</v>
      </c>
      <c r="F25" s="2">
        <v>1500</v>
      </c>
      <c r="G25" s="2" t="s">
        <v>60</v>
      </c>
      <c r="H25" s="4" t="str">
        <f t="shared" si="0"/>
        <v>Within Budget</v>
      </c>
    </row>
    <row r="26" spans="1:8" x14ac:dyDescent="0.3">
      <c r="A26" s="6">
        <v>45955</v>
      </c>
      <c r="B26" s="2" t="s">
        <v>14</v>
      </c>
      <c r="C26" s="2" t="s">
        <v>61</v>
      </c>
      <c r="D26" s="2">
        <v>350</v>
      </c>
      <c r="E26" s="2" t="s">
        <v>9</v>
      </c>
      <c r="F26" s="2">
        <v>4000</v>
      </c>
      <c r="G26" s="2"/>
      <c r="H26" s="4" t="str">
        <f t="shared" si="0"/>
        <v>Within Budget</v>
      </c>
    </row>
    <row r="27" spans="1:8" x14ac:dyDescent="0.3">
      <c r="A27" s="6">
        <v>45956</v>
      </c>
      <c r="B27" s="2" t="s">
        <v>38</v>
      </c>
      <c r="C27" s="2" t="s">
        <v>62</v>
      </c>
      <c r="D27" s="2">
        <v>1500</v>
      </c>
      <c r="E27" s="2" t="s">
        <v>20</v>
      </c>
      <c r="F27" s="2">
        <v>3000</v>
      </c>
      <c r="G27" s="2" t="s">
        <v>63</v>
      </c>
      <c r="H27" s="4" t="str">
        <f t="shared" si="0"/>
        <v>Within Budget</v>
      </c>
    </row>
    <row r="28" spans="1:8" x14ac:dyDescent="0.3">
      <c r="A28" s="6">
        <v>45957</v>
      </c>
      <c r="B28" s="2" t="s">
        <v>18</v>
      </c>
      <c r="C28" s="2" t="s">
        <v>64</v>
      </c>
      <c r="D28" s="2">
        <v>950</v>
      </c>
      <c r="E28" s="2" t="s">
        <v>16</v>
      </c>
      <c r="F28" s="2">
        <v>1500</v>
      </c>
      <c r="G28" s="2" t="s">
        <v>65</v>
      </c>
      <c r="H28" s="4" t="str">
        <f t="shared" si="0"/>
        <v>Within Budget</v>
      </c>
    </row>
    <row r="29" spans="1:8" x14ac:dyDescent="0.3">
      <c r="A29" s="6">
        <v>45958</v>
      </c>
      <c r="B29" s="2" t="s">
        <v>7</v>
      </c>
      <c r="C29" s="2" t="s">
        <v>8</v>
      </c>
      <c r="D29" s="2">
        <v>100</v>
      </c>
      <c r="E29" s="2" t="s">
        <v>9</v>
      </c>
      <c r="F29" s="2">
        <v>5000</v>
      </c>
      <c r="G29" s="2"/>
      <c r="H29" s="4" t="str">
        <f t="shared" si="0"/>
        <v>Within Budget</v>
      </c>
    </row>
    <row r="30" spans="1:8" x14ac:dyDescent="0.3">
      <c r="A30" s="6">
        <v>45959</v>
      </c>
      <c r="B30" s="2" t="s">
        <v>11</v>
      </c>
      <c r="C30" s="2" t="s">
        <v>66</v>
      </c>
      <c r="D30" s="2">
        <v>300</v>
      </c>
      <c r="E30" s="2" t="s">
        <v>20</v>
      </c>
      <c r="F30" s="2">
        <v>2000</v>
      </c>
      <c r="G30" s="2" t="s">
        <v>67</v>
      </c>
      <c r="H30" s="4" t="str">
        <f t="shared" si="0"/>
        <v>Within Budget</v>
      </c>
    </row>
    <row r="31" spans="1:8" x14ac:dyDescent="0.3">
      <c r="A31" s="6">
        <v>45960</v>
      </c>
      <c r="B31" s="2" t="s">
        <v>14</v>
      </c>
      <c r="C31" s="2" t="s">
        <v>68</v>
      </c>
      <c r="D31" s="2">
        <v>700</v>
      </c>
      <c r="E31" s="2" t="s">
        <v>16</v>
      </c>
      <c r="F31" s="2">
        <v>4000</v>
      </c>
      <c r="G31" s="2" t="s">
        <v>69</v>
      </c>
      <c r="H31" s="4" t="str">
        <f t="shared" si="0"/>
        <v>Within Budget</v>
      </c>
    </row>
    <row r="32" spans="1:8" x14ac:dyDescent="0.3">
      <c r="A32" s="6">
        <v>45961</v>
      </c>
      <c r="B32" s="2" t="s">
        <v>27</v>
      </c>
      <c r="C32" s="2" t="s">
        <v>28</v>
      </c>
      <c r="D32" s="2">
        <v>300</v>
      </c>
      <c r="E32" s="2" t="s">
        <v>9</v>
      </c>
      <c r="F32" s="2">
        <v>1000</v>
      </c>
      <c r="G32" s="2" t="s">
        <v>70</v>
      </c>
      <c r="H32" s="4" t="str">
        <f t="shared" si="0"/>
        <v>Within Budget</v>
      </c>
    </row>
  </sheetData>
  <conditionalFormatting sqref="D2:D32">
    <cfRule type="cellIs" dxfId="120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FDCD-BC2D-446F-A3CF-A94C4C8F7EA9}">
  <dimension ref="A3:F11"/>
  <sheetViews>
    <sheetView tabSelected="1" workbookViewId="0">
      <selection activeCell="H7" sqref="H7"/>
    </sheetView>
  </sheetViews>
  <sheetFormatPr defaultRowHeight="14.4" x14ac:dyDescent="0.3"/>
  <cols>
    <col min="1" max="2" width="22.109375" style="7" customWidth="1"/>
    <col min="3" max="3" width="16" style="7" bestFit="1" customWidth="1"/>
    <col min="4" max="4" width="26" style="7" bestFit="1" customWidth="1"/>
    <col min="5" max="5" width="20.88671875" style="7" bestFit="1" customWidth="1"/>
    <col min="6" max="6" width="20.44140625" style="7" bestFit="1" customWidth="1"/>
    <col min="7" max="7" width="22.109375" style="7" customWidth="1"/>
    <col min="8" max="16384" width="8.88671875" style="7"/>
  </cols>
  <sheetData>
    <row r="3" spans="1:6" ht="39.6" customHeight="1" x14ac:dyDescent="0.3">
      <c r="A3" s="12" t="s">
        <v>1</v>
      </c>
      <c r="B3" s="12" t="s">
        <v>80</v>
      </c>
      <c r="C3" s="12" t="s">
        <v>72</v>
      </c>
      <c r="D3" s="12" t="s">
        <v>81</v>
      </c>
      <c r="E3" s="12" t="s">
        <v>82</v>
      </c>
      <c r="F3" s="12" t="s">
        <v>83</v>
      </c>
    </row>
    <row r="4" spans="1:6" ht="39.6" customHeight="1" x14ac:dyDescent="0.3">
      <c r="A4" s="8" t="s">
        <v>24</v>
      </c>
      <c r="B4" s="9">
        <v>1049</v>
      </c>
      <c r="C4" s="11">
        <v>14418</v>
      </c>
      <c r="D4" s="13">
        <v>465.09677419354841</v>
      </c>
      <c r="E4" s="13">
        <v>1800</v>
      </c>
      <c r="F4" s="13">
        <v>50</v>
      </c>
    </row>
    <row r="5" spans="1:6" ht="39.6" customHeight="1" x14ac:dyDescent="0.3">
      <c r="A5" s="8" t="s">
        <v>7</v>
      </c>
      <c r="B5" s="9">
        <v>950</v>
      </c>
    </row>
    <row r="6" spans="1:6" ht="39.6" customHeight="1" x14ac:dyDescent="0.3">
      <c r="A6" s="8" t="s">
        <v>14</v>
      </c>
      <c r="B6" s="9">
        <v>1840</v>
      </c>
    </row>
    <row r="7" spans="1:6" ht="39.6" customHeight="1" x14ac:dyDescent="0.3">
      <c r="A7" s="8" t="s">
        <v>27</v>
      </c>
      <c r="B7" s="9">
        <v>2000</v>
      </c>
    </row>
    <row r="8" spans="1:6" ht="39.6" customHeight="1" x14ac:dyDescent="0.3">
      <c r="A8" s="8" t="s">
        <v>38</v>
      </c>
      <c r="B8" s="9">
        <v>4500</v>
      </c>
    </row>
    <row r="9" spans="1:6" ht="39.6" customHeight="1" x14ac:dyDescent="0.3">
      <c r="A9" s="8" t="s">
        <v>11</v>
      </c>
      <c r="B9" s="9">
        <v>1130</v>
      </c>
    </row>
    <row r="10" spans="1:6" ht="39.6" customHeight="1" x14ac:dyDescent="0.3">
      <c r="A10" s="8" t="s">
        <v>18</v>
      </c>
      <c r="B10" s="9">
        <v>2949</v>
      </c>
    </row>
    <row r="11" spans="1:6" ht="39.6" customHeight="1" x14ac:dyDescent="0.3">
      <c r="A11" s="10" t="s">
        <v>79</v>
      </c>
      <c r="B11" s="11">
        <v>14418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 Dataset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2025-10-17T08:28:19Z</dcterms:modified>
</cp:coreProperties>
</file>