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PW DataAnalyticsFinalNotes\1 - Excel Final\Excel Projects\1) Excel Functions and Formula Project\"/>
    </mc:Choice>
  </mc:AlternateContent>
  <xr:revisionPtr revIDLastSave="0" documentId="13_ncr:1_{36B59C1A-0ADD-4D2A-A67D-94E4A143FC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 - Event Registr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3" i="1" l="1"/>
  <c r="N13" i="1"/>
  <c r="M13" i="1"/>
  <c r="O9" i="1"/>
  <c r="N9" i="1"/>
  <c r="M9" i="1"/>
  <c r="O4" i="1"/>
  <c r="N4" i="1"/>
  <c r="M4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2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2" i="1"/>
</calcChain>
</file>

<file path=xl/sharedStrings.xml><?xml version="1.0" encoding="utf-8"?>
<sst xmlns="http://schemas.openxmlformats.org/spreadsheetml/2006/main" count="139" uniqueCount="71">
  <si>
    <t>Reg. No</t>
  </si>
  <si>
    <t>Participant Name</t>
  </si>
  <si>
    <t>Event Name</t>
  </si>
  <si>
    <t>Category</t>
  </si>
  <si>
    <t>Registration Fee</t>
  </si>
  <si>
    <t>Amount Paid</t>
  </si>
  <si>
    <t>Balance</t>
  </si>
  <si>
    <t>Payment Status</t>
  </si>
  <si>
    <t>Registration Date</t>
  </si>
  <si>
    <t>Remarks</t>
  </si>
  <si>
    <t>Aditi Sharma</t>
  </si>
  <si>
    <t>Tech Fest</t>
  </si>
  <si>
    <t>Student</t>
  </si>
  <si>
    <t>Paid</t>
  </si>
  <si>
    <t>20-Jan-2025</t>
  </si>
  <si>
    <t>Rahul Mehta</t>
  </si>
  <si>
    <t>Workshop</t>
  </si>
  <si>
    <t>Professional</t>
  </si>
  <si>
    <t>Pending</t>
  </si>
  <si>
    <t>09-Jan-2025</t>
  </si>
  <si>
    <t>Sneha Patil</t>
  </si>
  <si>
    <t>Cultural Night</t>
  </si>
  <si>
    <t>16-Jan-2025</t>
  </si>
  <si>
    <t>Arjun Rao</t>
  </si>
  <si>
    <t>Sports Meet</t>
  </si>
  <si>
    <t>06-Jan-2025</t>
  </si>
  <si>
    <t>Priya Nair</t>
  </si>
  <si>
    <t>14-Jan-2025</t>
  </si>
  <si>
    <t>Karan Singh</t>
  </si>
  <si>
    <t>13-Jan-2025</t>
  </si>
  <si>
    <t>Neha Gupta</t>
  </si>
  <si>
    <t>Startup Expo</t>
  </si>
  <si>
    <t>05-Jan-2025</t>
  </si>
  <si>
    <t>Aman Verma</t>
  </si>
  <si>
    <t>07-Jan-2025</t>
  </si>
  <si>
    <t>Riya Das</t>
  </si>
  <si>
    <t>12-Jan-2025</t>
  </si>
  <si>
    <t>Abhay Patil</t>
  </si>
  <si>
    <t>Vikas Joshi</t>
  </si>
  <si>
    <t>Simran Kaur</t>
  </si>
  <si>
    <t>Rohit Sharma</t>
  </si>
  <si>
    <t>Ananya Iyer</t>
  </si>
  <si>
    <t>Deepak Yadav</t>
  </si>
  <si>
    <t>Sonal Jain</t>
  </si>
  <si>
    <t>11-Jan-2025</t>
  </si>
  <si>
    <t>Nikhil Bansal</t>
  </si>
  <si>
    <t>08-Jan-2025</t>
  </si>
  <si>
    <t>Pooja Mishra</t>
  </si>
  <si>
    <t>Vivek Desai</t>
  </si>
  <si>
    <t>Kriti Sen</t>
  </si>
  <si>
    <t>Harsh Goel</t>
  </si>
  <si>
    <t>Tanvi Patel</t>
  </si>
  <si>
    <t>15-Jan-2025</t>
  </si>
  <si>
    <t>Raj Malhotra</t>
  </si>
  <si>
    <t>Divya Nair</t>
  </si>
  <si>
    <t>Sameer Khan</t>
  </si>
  <si>
    <t>10-Jan-2025</t>
  </si>
  <si>
    <t>Snehal Pawar</t>
  </si>
  <si>
    <t>Aditya Roy</t>
  </si>
  <si>
    <t>Manisha Das</t>
  </si>
  <si>
    <t>18-Jan-2025</t>
  </si>
  <si>
    <t>Ankit Tiwari</t>
  </si>
  <si>
    <t>19-Jan-2025</t>
  </si>
  <si>
    <t>Shreya Jadhav</t>
  </si>
  <si>
    <t>Total Participants</t>
  </si>
  <si>
    <t>Total Collection</t>
  </si>
  <si>
    <t>Received Collection</t>
  </si>
  <si>
    <t>Pending Collection</t>
  </si>
  <si>
    <t>Avg Fee</t>
  </si>
  <si>
    <t>Max Fee</t>
  </si>
  <si>
    <t>Min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</si>
</sst>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"/>
  <sheetViews>
    <sheetView tabSelected="1" workbookViewId="0">
      <selection activeCell="M20" sqref="M20"/>
    </sheetView>
  </sheetViews>
  <sheetFormatPr defaultRowHeight="14.4" x14ac:dyDescent="0.3"/>
  <cols>
    <col min="1" max="1" width="7.5546875" bestFit="1" customWidth="1"/>
    <col min="2" max="2" width="15.6640625" bestFit="1" customWidth="1"/>
    <col min="3" max="3" width="12.109375" bestFit="1" customWidth="1"/>
    <col min="4" max="4" width="11" bestFit="1" customWidth="1"/>
    <col min="5" max="5" width="14.44140625" bestFit="1" customWidth="1"/>
    <col min="6" max="6" width="12" bestFit="1" customWidth="1"/>
    <col min="7" max="7" width="7.5546875" bestFit="1" customWidth="1"/>
    <col min="8" max="8" width="14.33203125" bestFit="1" customWidth="1"/>
    <col min="9" max="9" width="15.44140625" bestFit="1" customWidth="1"/>
    <col min="10" max="10" width="8.21875" bestFit="1" customWidth="1"/>
    <col min="13" max="13" width="15.33203125" bestFit="1" customWidth="1"/>
    <col min="14" max="14" width="17.21875" bestFit="1" customWidth="1"/>
    <col min="15" max="15" width="16.1093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5" x14ac:dyDescent="0.3">
      <c r="A2" s="2">
        <v>1</v>
      </c>
      <c r="B2" s="2" t="s">
        <v>10</v>
      </c>
      <c r="C2" s="2" t="s">
        <v>11</v>
      </c>
      <c r="D2" s="2" t="s">
        <v>12</v>
      </c>
      <c r="E2" s="2">
        <v>500</v>
      </c>
      <c r="F2" s="2">
        <v>500</v>
      </c>
      <c r="G2" s="2">
        <f>F2-E2</f>
        <v>0</v>
      </c>
      <c r="H2" s="2" t="str">
        <f>IF(G2&lt;0,"Pending","Paid")</f>
        <v>Paid</v>
      </c>
      <c r="I2" s="2" t="s">
        <v>14</v>
      </c>
      <c r="J2" s="2" t="str">
        <f>IF(G2&lt;0,"Due","Clear")</f>
        <v>Clear</v>
      </c>
    </row>
    <row r="3" spans="1:15" x14ac:dyDescent="0.3">
      <c r="A3" s="2">
        <v>2</v>
      </c>
      <c r="B3" s="2" t="s">
        <v>15</v>
      </c>
      <c r="C3" s="2" t="s">
        <v>16</v>
      </c>
      <c r="D3" s="2" t="s">
        <v>17</v>
      </c>
      <c r="E3" s="2">
        <v>1500</v>
      </c>
      <c r="F3" s="2">
        <v>1300</v>
      </c>
      <c r="G3" s="2">
        <f t="shared" ref="G3:G31" si="0">F3-E3</f>
        <v>-200</v>
      </c>
      <c r="H3" s="2" t="str">
        <f t="shared" ref="H3:H31" si="1">IF(G3&lt;0,"Pending","Paid")</f>
        <v>Pending</v>
      </c>
      <c r="I3" s="2" t="s">
        <v>19</v>
      </c>
      <c r="J3" s="2" t="str">
        <f t="shared" ref="J3:J31" si="2">IF(G3&lt;0,"Due","Clear")</f>
        <v>Due</v>
      </c>
      <c r="M3" s="2" t="s">
        <v>64</v>
      </c>
      <c r="N3" s="2" t="s">
        <v>13</v>
      </c>
      <c r="O3" s="2" t="s">
        <v>18</v>
      </c>
    </row>
    <row r="4" spans="1:15" x14ac:dyDescent="0.3">
      <c r="A4" s="2">
        <v>3</v>
      </c>
      <c r="B4" s="2" t="s">
        <v>20</v>
      </c>
      <c r="C4" s="2" t="s">
        <v>21</v>
      </c>
      <c r="D4" s="2" t="s">
        <v>17</v>
      </c>
      <c r="E4" s="2">
        <v>1000</v>
      </c>
      <c r="F4" s="2">
        <v>700</v>
      </c>
      <c r="G4" s="2">
        <f t="shared" si="0"/>
        <v>-300</v>
      </c>
      <c r="H4" s="2" t="str">
        <f t="shared" si="1"/>
        <v>Pending</v>
      </c>
      <c r="I4" s="2" t="s">
        <v>22</v>
      </c>
      <c r="J4" s="2" t="str">
        <f t="shared" si="2"/>
        <v>Due</v>
      </c>
      <c r="M4" s="2">
        <f>COUNTA(B2:B31)</f>
        <v>30</v>
      </c>
      <c r="N4" s="2">
        <f>COUNTIF($H$2:$H$31,N$3)</f>
        <v>5</v>
      </c>
      <c r="O4" s="2">
        <f>COUNTIF($H$2:$H$31,O$3)</f>
        <v>25</v>
      </c>
    </row>
    <row r="5" spans="1:15" x14ac:dyDescent="0.3">
      <c r="A5" s="2">
        <v>4</v>
      </c>
      <c r="B5" s="2" t="s">
        <v>23</v>
      </c>
      <c r="C5" s="2" t="s">
        <v>24</v>
      </c>
      <c r="D5" s="2" t="s">
        <v>17</v>
      </c>
      <c r="E5" s="2">
        <v>1500</v>
      </c>
      <c r="F5" s="2">
        <v>1500</v>
      </c>
      <c r="G5" s="2">
        <f t="shared" si="0"/>
        <v>0</v>
      </c>
      <c r="H5" s="2" t="str">
        <f t="shared" si="1"/>
        <v>Paid</v>
      </c>
      <c r="I5" s="2" t="s">
        <v>25</v>
      </c>
      <c r="J5" s="2" t="str">
        <f t="shared" si="2"/>
        <v>Clear</v>
      </c>
    </row>
    <row r="6" spans="1:15" x14ac:dyDescent="0.3">
      <c r="A6" s="2">
        <v>5</v>
      </c>
      <c r="B6" s="2" t="s">
        <v>26</v>
      </c>
      <c r="C6" s="2" t="s">
        <v>21</v>
      </c>
      <c r="D6" s="2" t="s">
        <v>17</v>
      </c>
      <c r="E6" s="2">
        <v>800</v>
      </c>
      <c r="F6" s="2">
        <v>500</v>
      </c>
      <c r="G6" s="2">
        <f t="shared" si="0"/>
        <v>-300</v>
      </c>
      <c r="H6" s="2" t="str">
        <f t="shared" si="1"/>
        <v>Pending</v>
      </c>
      <c r="I6" s="2" t="s">
        <v>27</v>
      </c>
      <c r="J6" s="2" t="str">
        <f t="shared" si="2"/>
        <v>Due</v>
      </c>
    </row>
    <row r="7" spans="1:15" x14ac:dyDescent="0.3">
      <c r="A7" s="2">
        <v>6</v>
      </c>
      <c r="B7" s="2" t="s">
        <v>28</v>
      </c>
      <c r="C7" s="2" t="s">
        <v>11</v>
      </c>
      <c r="D7" s="2" t="s">
        <v>17</v>
      </c>
      <c r="E7" s="2">
        <v>1200</v>
      </c>
      <c r="F7" s="2">
        <v>1000</v>
      </c>
      <c r="G7" s="2">
        <f t="shared" si="0"/>
        <v>-200</v>
      </c>
      <c r="H7" s="2" t="str">
        <f t="shared" si="1"/>
        <v>Pending</v>
      </c>
      <c r="I7" s="2" t="s">
        <v>29</v>
      </c>
      <c r="J7" s="2" t="str">
        <f t="shared" si="2"/>
        <v>Due</v>
      </c>
    </row>
    <row r="8" spans="1:15" x14ac:dyDescent="0.3">
      <c r="A8" s="2">
        <v>7</v>
      </c>
      <c r="B8" s="2" t="s">
        <v>30</v>
      </c>
      <c r="C8" s="2" t="s">
        <v>31</v>
      </c>
      <c r="D8" s="2" t="s">
        <v>17</v>
      </c>
      <c r="E8" s="2">
        <v>1000</v>
      </c>
      <c r="F8" s="2">
        <v>700</v>
      </c>
      <c r="G8" s="2">
        <f t="shared" si="0"/>
        <v>-300</v>
      </c>
      <c r="H8" s="2" t="str">
        <f t="shared" si="1"/>
        <v>Pending</v>
      </c>
      <c r="I8" s="2" t="s">
        <v>32</v>
      </c>
      <c r="J8" s="2" t="str">
        <f t="shared" si="2"/>
        <v>Due</v>
      </c>
      <c r="M8" s="2" t="s">
        <v>65</v>
      </c>
      <c r="N8" s="2" t="s">
        <v>66</v>
      </c>
      <c r="O8" s="2" t="s">
        <v>67</v>
      </c>
    </row>
    <row r="9" spans="1:15" x14ac:dyDescent="0.3">
      <c r="A9" s="2">
        <v>8</v>
      </c>
      <c r="B9" s="2" t="s">
        <v>33</v>
      </c>
      <c r="C9" s="2" t="s">
        <v>31</v>
      </c>
      <c r="D9" s="2" t="s">
        <v>17</v>
      </c>
      <c r="E9" s="2">
        <v>1000</v>
      </c>
      <c r="F9" s="2">
        <v>1000</v>
      </c>
      <c r="G9" s="2">
        <f t="shared" si="0"/>
        <v>0</v>
      </c>
      <c r="H9" s="2" t="str">
        <f t="shared" si="1"/>
        <v>Paid</v>
      </c>
      <c r="I9" s="2" t="s">
        <v>34</v>
      </c>
      <c r="J9" s="2" t="str">
        <f t="shared" si="2"/>
        <v>Clear</v>
      </c>
      <c r="M9" s="2">
        <f>SUM(E2:E31)</f>
        <v>24200</v>
      </c>
      <c r="N9" s="2">
        <f>SUM(F2:F31)</f>
        <v>18100</v>
      </c>
      <c r="O9" s="2">
        <f>N9-M9</f>
        <v>-6100</v>
      </c>
    </row>
    <row r="10" spans="1:15" x14ac:dyDescent="0.3">
      <c r="A10" s="2">
        <v>9</v>
      </c>
      <c r="B10" s="2" t="s">
        <v>35</v>
      </c>
      <c r="C10" s="2" t="s">
        <v>16</v>
      </c>
      <c r="D10" s="2" t="s">
        <v>12</v>
      </c>
      <c r="E10" s="2">
        <v>400</v>
      </c>
      <c r="F10" s="2">
        <v>400</v>
      </c>
      <c r="G10" s="2">
        <f t="shared" si="0"/>
        <v>0</v>
      </c>
      <c r="H10" s="2" t="str">
        <f t="shared" si="1"/>
        <v>Paid</v>
      </c>
      <c r="I10" s="2" t="s">
        <v>36</v>
      </c>
      <c r="J10" s="2" t="str">
        <f t="shared" si="2"/>
        <v>Clear</v>
      </c>
    </row>
    <row r="11" spans="1:15" x14ac:dyDescent="0.3">
      <c r="A11" s="2">
        <v>10</v>
      </c>
      <c r="B11" s="2" t="s">
        <v>37</v>
      </c>
      <c r="C11" s="2" t="s">
        <v>21</v>
      </c>
      <c r="D11" s="2" t="s">
        <v>17</v>
      </c>
      <c r="E11" s="2">
        <v>1200</v>
      </c>
      <c r="F11" s="2">
        <v>1000</v>
      </c>
      <c r="G11" s="2">
        <f t="shared" si="0"/>
        <v>-200</v>
      </c>
      <c r="H11" s="2" t="str">
        <f t="shared" si="1"/>
        <v>Pending</v>
      </c>
      <c r="I11" s="2" t="s">
        <v>14</v>
      </c>
      <c r="J11" s="2" t="str">
        <f t="shared" si="2"/>
        <v>Due</v>
      </c>
    </row>
    <row r="12" spans="1:15" x14ac:dyDescent="0.3">
      <c r="A12" s="2">
        <v>11</v>
      </c>
      <c r="B12" s="2" t="s">
        <v>38</v>
      </c>
      <c r="C12" s="2" t="s">
        <v>31</v>
      </c>
      <c r="D12" s="2" t="s">
        <v>12</v>
      </c>
      <c r="E12" s="2">
        <v>700</v>
      </c>
      <c r="F12" s="2">
        <v>400</v>
      </c>
      <c r="G12" s="2">
        <f t="shared" si="0"/>
        <v>-300</v>
      </c>
      <c r="H12" s="2" t="str">
        <f t="shared" si="1"/>
        <v>Pending</v>
      </c>
      <c r="I12" s="2" t="s">
        <v>14</v>
      </c>
      <c r="J12" s="2" t="str">
        <f t="shared" si="2"/>
        <v>Due</v>
      </c>
      <c r="M12" s="2" t="s">
        <v>68</v>
      </c>
      <c r="N12" s="2" t="s">
        <v>69</v>
      </c>
      <c r="O12" s="2" t="s">
        <v>70</v>
      </c>
    </row>
    <row r="13" spans="1:15" x14ac:dyDescent="0.3">
      <c r="A13" s="2">
        <v>12</v>
      </c>
      <c r="B13" s="2" t="s">
        <v>39</v>
      </c>
      <c r="C13" s="2" t="s">
        <v>16</v>
      </c>
      <c r="D13" s="2" t="s">
        <v>17</v>
      </c>
      <c r="E13" s="2">
        <v>1200</v>
      </c>
      <c r="F13" s="2">
        <v>1000</v>
      </c>
      <c r="G13" s="2">
        <f t="shared" si="0"/>
        <v>-200</v>
      </c>
      <c r="H13" s="2" t="str">
        <f t="shared" si="1"/>
        <v>Pending</v>
      </c>
      <c r="I13" s="2" t="s">
        <v>32</v>
      </c>
      <c r="J13" s="2" t="str">
        <f t="shared" si="2"/>
        <v>Due</v>
      </c>
      <c r="M13" s="2">
        <f>AVERAGE(E2:E31)</f>
        <v>806.66666666666663</v>
      </c>
      <c r="N13" s="2">
        <f>MAX(E2:E31)</f>
        <v>1500</v>
      </c>
      <c r="O13" s="2">
        <f>MIN(E2:E31)</f>
        <v>400</v>
      </c>
    </row>
    <row r="14" spans="1:15" x14ac:dyDescent="0.3">
      <c r="A14" s="2">
        <v>13</v>
      </c>
      <c r="B14" s="2" t="s">
        <v>40</v>
      </c>
      <c r="C14" s="2" t="s">
        <v>21</v>
      </c>
      <c r="D14" s="2" t="s">
        <v>12</v>
      </c>
      <c r="E14" s="2">
        <v>600</v>
      </c>
      <c r="F14" s="2">
        <v>300</v>
      </c>
      <c r="G14" s="2">
        <f t="shared" si="0"/>
        <v>-300</v>
      </c>
      <c r="H14" s="2" t="str">
        <f t="shared" si="1"/>
        <v>Pending</v>
      </c>
      <c r="I14" s="2" t="s">
        <v>14</v>
      </c>
      <c r="J14" s="2" t="str">
        <f t="shared" si="2"/>
        <v>Due</v>
      </c>
    </row>
    <row r="15" spans="1:15" x14ac:dyDescent="0.3">
      <c r="A15" s="2">
        <v>14</v>
      </c>
      <c r="B15" s="2" t="s">
        <v>41</v>
      </c>
      <c r="C15" s="2" t="s">
        <v>31</v>
      </c>
      <c r="D15" s="2" t="s">
        <v>12</v>
      </c>
      <c r="E15" s="2">
        <v>600</v>
      </c>
      <c r="F15" s="2">
        <v>400</v>
      </c>
      <c r="G15" s="2">
        <f t="shared" si="0"/>
        <v>-200</v>
      </c>
      <c r="H15" s="2" t="str">
        <f t="shared" si="1"/>
        <v>Pending</v>
      </c>
      <c r="I15" s="2" t="s">
        <v>14</v>
      </c>
      <c r="J15" s="2" t="str">
        <f t="shared" si="2"/>
        <v>Due</v>
      </c>
    </row>
    <row r="16" spans="1:15" x14ac:dyDescent="0.3">
      <c r="A16" s="2">
        <v>15</v>
      </c>
      <c r="B16" s="2" t="s">
        <v>42</v>
      </c>
      <c r="C16" s="2" t="s">
        <v>16</v>
      </c>
      <c r="D16" s="2" t="s">
        <v>17</v>
      </c>
      <c r="E16" s="2">
        <v>1500</v>
      </c>
      <c r="F16" s="2">
        <v>1200</v>
      </c>
      <c r="G16" s="2">
        <f t="shared" si="0"/>
        <v>-300</v>
      </c>
      <c r="H16" s="2" t="str">
        <f t="shared" si="1"/>
        <v>Pending</v>
      </c>
      <c r="I16" s="2" t="s">
        <v>32</v>
      </c>
      <c r="J16" s="2" t="str">
        <f t="shared" si="2"/>
        <v>Due</v>
      </c>
    </row>
    <row r="17" spans="1:10" x14ac:dyDescent="0.3">
      <c r="A17" s="2">
        <v>16</v>
      </c>
      <c r="B17" s="2" t="s">
        <v>43</v>
      </c>
      <c r="C17" s="2" t="s">
        <v>11</v>
      </c>
      <c r="D17" s="2" t="s">
        <v>17</v>
      </c>
      <c r="E17" s="2">
        <v>1200</v>
      </c>
      <c r="F17" s="2">
        <v>900</v>
      </c>
      <c r="G17" s="2">
        <f t="shared" si="0"/>
        <v>-300</v>
      </c>
      <c r="H17" s="2" t="str">
        <f t="shared" si="1"/>
        <v>Pending</v>
      </c>
      <c r="I17" s="2" t="s">
        <v>44</v>
      </c>
      <c r="J17" s="2" t="str">
        <f t="shared" si="2"/>
        <v>Due</v>
      </c>
    </row>
    <row r="18" spans="1:10" x14ac:dyDescent="0.3">
      <c r="A18" s="2">
        <v>17</v>
      </c>
      <c r="B18" s="2" t="s">
        <v>45</v>
      </c>
      <c r="C18" s="2" t="s">
        <v>16</v>
      </c>
      <c r="D18" s="2" t="s">
        <v>12</v>
      </c>
      <c r="E18" s="2">
        <v>400</v>
      </c>
      <c r="F18" s="2">
        <v>100</v>
      </c>
      <c r="G18" s="2">
        <f t="shared" si="0"/>
        <v>-300</v>
      </c>
      <c r="H18" s="2" t="str">
        <f t="shared" si="1"/>
        <v>Pending</v>
      </c>
      <c r="I18" s="2" t="s">
        <v>46</v>
      </c>
      <c r="J18" s="2" t="str">
        <f t="shared" si="2"/>
        <v>Due</v>
      </c>
    </row>
    <row r="19" spans="1:10" x14ac:dyDescent="0.3">
      <c r="A19" s="2">
        <v>18</v>
      </c>
      <c r="B19" s="2" t="s">
        <v>47</v>
      </c>
      <c r="C19" s="2" t="s">
        <v>16</v>
      </c>
      <c r="D19" s="2" t="s">
        <v>12</v>
      </c>
      <c r="E19" s="2">
        <v>400</v>
      </c>
      <c r="F19" s="2">
        <v>200</v>
      </c>
      <c r="G19" s="2">
        <f t="shared" si="0"/>
        <v>-200</v>
      </c>
      <c r="H19" s="2" t="str">
        <f t="shared" si="1"/>
        <v>Pending</v>
      </c>
      <c r="I19" s="2" t="s">
        <v>22</v>
      </c>
      <c r="J19" s="2" t="str">
        <f t="shared" si="2"/>
        <v>Due</v>
      </c>
    </row>
    <row r="20" spans="1:10" x14ac:dyDescent="0.3">
      <c r="A20" s="2">
        <v>19</v>
      </c>
      <c r="B20" s="2" t="s">
        <v>48</v>
      </c>
      <c r="C20" s="2" t="s">
        <v>24</v>
      </c>
      <c r="D20" s="2" t="s">
        <v>12</v>
      </c>
      <c r="E20" s="2">
        <v>600</v>
      </c>
      <c r="F20" s="2">
        <v>500</v>
      </c>
      <c r="G20" s="2">
        <f t="shared" si="0"/>
        <v>-100</v>
      </c>
      <c r="H20" s="2" t="str">
        <f t="shared" si="1"/>
        <v>Pending</v>
      </c>
      <c r="I20" s="2" t="s">
        <v>25</v>
      </c>
      <c r="J20" s="2" t="str">
        <f t="shared" si="2"/>
        <v>Due</v>
      </c>
    </row>
    <row r="21" spans="1:10" x14ac:dyDescent="0.3">
      <c r="A21" s="2">
        <v>20</v>
      </c>
      <c r="B21" s="2" t="s">
        <v>49</v>
      </c>
      <c r="C21" s="2" t="s">
        <v>24</v>
      </c>
      <c r="D21" s="2" t="s">
        <v>12</v>
      </c>
      <c r="E21" s="2">
        <v>600</v>
      </c>
      <c r="F21" s="2">
        <v>300</v>
      </c>
      <c r="G21" s="2">
        <f t="shared" si="0"/>
        <v>-300</v>
      </c>
      <c r="H21" s="2" t="str">
        <f t="shared" si="1"/>
        <v>Pending</v>
      </c>
      <c r="I21" s="2" t="s">
        <v>29</v>
      </c>
      <c r="J21" s="2" t="str">
        <f t="shared" si="2"/>
        <v>Due</v>
      </c>
    </row>
    <row r="22" spans="1:10" x14ac:dyDescent="0.3">
      <c r="A22" s="2">
        <v>21</v>
      </c>
      <c r="B22" s="2" t="s">
        <v>50</v>
      </c>
      <c r="C22" s="2" t="s">
        <v>24</v>
      </c>
      <c r="D22" s="2" t="s">
        <v>17</v>
      </c>
      <c r="E22" s="2">
        <v>1000</v>
      </c>
      <c r="F22" s="2">
        <v>700</v>
      </c>
      <c r="G22" s="2">
        <f t="shared" si="0"/>
        <v>-300</v>
      </c>
      <c r="H22" s="2" t="str">
        <f t="shared" si="1"/>
        <v>Pending</v>
      </c>
      <c r="I22" s="2" t="s">
        <v>27</v>
      </c>
      <c r="J22" s="2" t="str">
        <f t="shared" si="2"/>
        <v>Due</v>
      </c>
    </row>
    <row r="23" spans="1:10" x14ac:dyDescent="0.3">
      <c r="A23" s="2">
        <v>22</v>
      </c>
      <c r="B23" s="2" t="s">
        <v>51</v>
      </c>
      <c r="C23" s="2" t="s">
        <v>31</v>
      </c>
      <c r="D23" s="2" t="s">
        <v>12</v>
      </c>
      <c r="E23" s="2">
        <v>600</v>
      </c>
      <c r="F23" s="2">
        <v>500</v>
      </c>
      <c r="G23" s="2">
        <f t="shared" si="0"/>
        <v>-100</v>
      </c>
      <c r="H23" s="2" t="str">
        <f t="shared" si="1"/>
        <v>Pending</v>
      </c>
      <c r="I23" s="2" t="s">
        <v>52</v>
      </c>
      <c r="J23" s="2" t="str">
        <f t="shared" si="2"/>
        <v>Due</v>
      </c>
    </row>
    <row r="24" spans="1:10" x14ac:dyDescent="0.3">
      <c r="A24" s="2">
        <v>23</v>
      </c>
      <c r="B24" s="2" t="s">
        <v>53</v>
      </c>
      <c r="C24" s="2" t="s">
        <v>11</v>
      </c>
      <c r="D24" s="2" t="s">
        <v>17</v>
      </c>
      <c r="E24" s="2">
        <v>1000</v>
      </c>
      <c r="F24" s="2">
        <v>700</v>
      </c>
      <c r="G24" s="2">
        <f t="shared" si="0"/>
        <v>-300</v>
      </c>
      <c r="H24" s="2" t="str">
        <f t="shared" si="1"/>
        <v>Pending</v>
      </c>
      <c r="I24" s="2" t="s">
        <v>25</v>
      </c>
      <c r="J24" s="2" t="str">
        <f t="shared" si="2"/>
        <v>Due</v>
      </c>
    </row>
    <row r="25" spans="1:10" x14ac:dyDescent="0.3">
      <c r="A25" s="2">
        <v>24</v>
      </c>
      <c r="B25" s="2" t="s">
        <v>54</v>
      </c>
      <c r="C25" s="2" t="s">
        <v>21</v>
      </c>
      <c r="D25" s="2" t="s">
        <v>12</v>
      </c>
      <c r="E25" s="2">
        <v>500</v>
      </c>
      <c r="F25" s="2">
        <v>500</v>
      </c>
      <c r="G25" s="2">
        <f t="shared" si="0"/>
        <v>0</v>
      </c>
      <c r="H25" s="2" t="str">
        <f t="shared" si="1"/>
        <v>Paid</v>
      </c>
      <c r="I25" s="2" t="s">
        <v>52</v>
      </c>
      <c r="J25" s="2" t="str">
        <f t="shared" si="2"/>
        <v>Clear</v>
      </c>
    </row>
    <row r="26" spans="1:10" x14ac:dyDescent="0.3">
      <c r="A26" s="2">
        <v>25</v>
      </c>
      <c r="B26" s="2" t="s">
        <v>55</v>
      </c>
      <c r="C26" s="2" t="s">
        <v>16</v>
      </c>
      <c r="D26" s="2" t="s">
        <v>12</v>
      </c>
      <c r="E26" s="2">
        <v>700</v>
      </c>
      <c r="F26" s="2">
        <v>500</v>
      </c>
      <c r="G26" s="2">
        <f t="shared" si="0"/>
        <v>-200</v>
      </c>
      <c r="H26" s="2" t="str">
        <f t="shared" si="1"/>
        <v>Pending</v>
      </c>
      <c r="I26" s="2" t="s">
        <v>56</v>
      </c>
      <c r="J26" s="2" t="str">
        <f t="shared" si="2"/>
        <v>Due</v>
      </c>
    </row>
    <row r="27" spans="1:10" x14ac:dyDescent="0.3">
      <c r="A27" s="2">
        <v>26</v>
      </c>
      <c r="B27" s="2" t="s">
        <v>57</v>
      </c>
      <c r="C27" s="2" t="s">
        <v>11</v>
      </c>
      <c r="D27" s="2" t="s">
        <v>12</v>
      </c>
      <c r="E27" s="2">
        <v>500</v>
      </c>
      <c r="F27" s="2">
        <v>200</v>
      </c>
      <c r="G27" s="2">
        <f t="shared" si="0"/>
        <v>-300</v>
      </c>
      <c r="H27" s="2" t="str">
        <f t="shared" si="1"/>
        <v>Pending</v>
      </c>
      <c r="I27" s="2" t="s">
        <v>44</v>
      </c>
      <c r="J27" s="2" t="str">
        <f t="shared" si="2"/>
        <v>Due</v>
      </c>
    </row>
    <row r="28" spans="1:10" x14ac:dyDescent="0.3">
      <c r="A28" s="2">
        <v>27</v>
      </c>
      <c r="B28" s="2" t="s">
        <v>58</v>
      </c>
      <c r="C28" s="2" t="s">
        <v>21</v>
      </c>
      <c r="D28" s="2" t="s">
        <v>12</v>
      </c>
      <c r="E28" s="2">
        <v>500</v>
      </c>
      <c r="F28" s="2">
        <v>300</v>
      </c>
      <c r="G28" s="2">
        <f t="shared" si="0"/>
        <v>-200</v>
      </c>
      <c r="H28" s="2" t="str">
        <f t="shared" si="1"/>
        <v>Pending</v>
      </c>
      <c r="I28" s="2" t="s">
        <v>25</v>
      </c>
      <c r="J28" s="2" t="str">
        <f t="shared" si="2"/>
        <v>Due</v>
      </c>
    </row>
    <row r="29" spans="1:10" x14ac:dyDescent="0.3">
      <c r="A29" s="2">
        <v>28</v>
      </c>
      <c r="B29" s="2" t="s">
        <v>59</v>
      </c>
      <c r="C29" s="2" t="s">
        <v>11</v>
      </c>
      <c r="D29" s="2" t="s">
        <v>12</v>
      </c>
      <c r="E29" s="2">
        <v>400</v>
      </c>
      <c r="F29" s="2">
        <v>200</v>
      </c>
      <c r="G29" s="2">
        <f t="shared" si="0"/>
        <v>-200</v>
      </c>
      <c r="H29" s="2" t="str">
        <f t="shared" si="1"/>
        <v>Pending</v>
      </c>
      <c r="I29" s="2" t="s">
        <v>60</v>
      </c>
      <c r="J29" s="2" t="str">
        <f t="shared" si="2"/>
        <v>Due</v>
      </c>
    </row>
    <row r="30" spans="1:10" x14ac:dyDescent="0.3">
      <c r="A30" s="2">
        <v>29</v>
      </c>
      <c r="B30" s="2" t="s">
        <v>61</v>
      </c>
      <c r="C30" s="2" t="s">
        <v>11</v>
      </c>
      <c r="D30" s="2" t="s">
        <v>12</v>
      </c>
      <c r="E30" s="2">
        <v>700</v>
      </c>
      <c r="F30" s="2">
        <v>500</v>
      </c>
      <c r="G30" s="2">
        <f t="shared" si="0"/>
        <v>-200</v>
      </c>
      <c r="H30" s="2" t="str">
        <f t="shared" si="1"/>
        <v>Pending</v>
      </c>
      <c r="I30" s="2" t="s">
        <v>62</v>
      </c>
      <c r="J30" s="2" t="str">
        <f t="shared" si="2"/>
        <v>Due</v>
      </c>
    </row>
    <row r="31" spans="1:10" x14ac:dyDescent="0.3">
      <c r="A31" s="2">
        <v>30</v>
      </c>
      <c r="B31" s="2" t="s">
        <v>63</v>
      </c>
      <c r="C31" s="2" t="s">
        <v>31</v>
      </c>
      <c r="D31" s="2" t="s">
        <v>12</v>
      </c>
      <c r="E31" s="2">
        <v>400</v>
      </c>
      <c r="F31" s="2">
        <v>100</v>
      </c>
      <c r="G31" s="2">
        <f t="shared" si="0"/>
        <v>-300</v>
      </c>
      <c r="H31" s="2" t="str">
        <f t="shared" si="1"/>
        <v>Pending</v>
      </c>
      <c r="I31" s="2" t="s">
        <v>25</v>
      </c>
      <c r="J31" s="2" t="str">
        <f t="shared" si="2"/>
        <v>Due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- Event Registration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saurabh sonawane</cp:lastModifiedBy>
  <dcterms:created xsi:type="dcterms:W3CDTF">2015-06-05T18:17:20Z</dcterms:created>
  <dcterms:modified xsi:type="dcterms:W3CDTF">2025-10-27T08:43:17Z</dcterms:modified>
</cp:coreProperties>
</file>