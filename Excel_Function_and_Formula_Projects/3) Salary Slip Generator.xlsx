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BFA31E88-307E-4979-AAA6-4B25D2586B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 Dataset" sheetId="1" r:id="rId1"/>
    <sheet name="Attendance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K2" i="1"/>
  <c r="J3" i="1"/>
  <c r="J4" i="1"/>
  <c r="J5" i="1"/>
  <c r="J6" i="1"/>
  <c r="K6" i="1" s="1"/>
  <c r="J7" i="1"/>
  <c r="K7" i="1" s="1"/>
  <c r="J8" i="1"/>
  <c r="K8" i="1" s="1"/>
  <c r="J9" i="1"/>
  <c r="K9" i="1" s="1"/>
  <c r="J10" i="1"/>
  <c r="K10" i="1" s="1"/>
  <c r="J11" i="1"/>
  <c r="J12" i="1"/>
  <c r="J13" i="1"/>
  <c r="J14" i="1"/>
  <c r="K14" i="1" s="1"/>
  <c r="J15" i="1"/>
  <c r="K15" i="1" s="1"/>
  <c r="J16" i="1"/>
  <c r="K16" i="1" s="1"/>
  <c r="J17" i="1"/>
  <c r="K17" i="1" s="1"/>
  <c r="J18" i="1"/>
  <c r="K18" i="1" s="1"/>
  <c r="J19" i="1"/>
  <c r="J20" i="1"/>
  <c r="J21" i="1"/>
  <c r="J22" i="1"/>
  <c r="K22" i="1" s="1"/>
  <c r="J23" i="1"/>
  <c r="K23" i="1" s="1"/>
  <c r="J24" i="1"/>
  <c r="K24" i="1" s="1"/>
  <c r="J25" i="1"/>
  <c r="K25" i="1" s="1"/>
  <c r="J26" i="1"/>
  <c r="K26" i="1" s="1"/>
  <c r="J27" i="1"/>
  <c r="J28" i="1"/>
  <c r="J29" i="1"/>
  <c r="J30" i="1"/>
  <c r="K30" i="1" s="1"/>
  <c r="J31" i="1"/>
  <c r="K31" i="1" s="1"/>
  <c r="J32" i="1"/>
  <c r="K32" i="1" s="1"/>
  <c r="J33" i="1"/>
  <c r="K33" i="1" s="1"/>
  <c r="J34" i="1"/>
  <c r="K34" i="1" s="1"/>
  <c r="J35" i="1"/>
  <c r="J36" i="1"/>
  <c r="J37" i="1"/>
  <c r="J38" i="1"/>
  <c r="K38" i="1" s="1"/>
  <c r="J39" i="1"/>
  <c r="K39" i="1" s="1"/>
  <c r="J40" i="1"/>
  <c r="K40" i="1" s="1"/>
  <c r="J41" i="1"/>
  <c r="K41" i="1" s="1"/>
  <c r="J42" i="1"/>
  <c r="K42" i="1" s="1"/>
  <c r="J43" i="1"/>
  <c r="J44" i="1"/>
  <c r="J45" i="1"/>
  <c r="J46" i="1"/>
  <c r="K46" i="1" s="1"/>
  <c r="J47" i="1"/>
  <c r="K47" i="1" s="1"/>
  <c r="J48" i="1"/>
  <c r="K48" i="1" s="1"/>
  <c r="J49" i="1"/>
  <c r="K49" i="1" s="1"/>
  <c r="J50" i="1"/>
  <c r="K50" i="1" s="1"/>
  <c r="J51" i="1"/>
  <c r="J52" i="1"/>
  <c r="J53" i="1"/>
  <c r="J54" i="1"/>
  <c r="K54" i="1" s="1"/>
  <c r="J55" i="1"/>
  <c r="K55" i="1" s="1"/>
  <c r="J56" i="1"/>
  <c r="K56" i="1" s="1"/>
  <c r="J57" i="1"/>
  <c r="K57" i="1" s="1"/>
  <c r="J58" i="1"/>
  <c r="K58" i="1" s="1"/>
  <c r="J59" i="1"/>
  <c r="J60" i="1"/>
  <c r="J61" i="1"/>
  <c r="J62" i="1"/>
  <c r="K62" i="1" s="1"/>
  <c r="J63" i="1"/>
  <c r="K63" i="1" s="1"/>
  <c r="J64" i="1"/>
  <c r="K64" i="1" s="1"/>
  <c r="J65" i="1"/>
  <c r="K65" i="1" s="1"/>
  <c r="J66" i="1"/>
  <c r="K66" i="1" s="1"/>
  <c r="J67" i="1"/>
  <c r="J68" i="1"/>
  <c r="J69" i="1"/>
  <c r="J70" i="1"/>
  <c r="K70" i="1" s="1"/>
  <c r="J71" i="1"/>
  <c r="K71" i="1" s="1"/>
  <c r="J72" i="1"/>
  <c r="K72" i="1" s="1"/>
  <c r="J73" i="1"/>
  <c r="K73" i="1" s="1"/>
  <c r="J74" i="1"/>
  <c r="K74" i="1" s="1"/>
  <c r="J75" i="1"/>
  <c r="J76" i="1"/>
  <c r="J77" i="1"/>
  <c r="J78" i="1"/>
  <c r="K78" i="1" s="1"/>
  <c r="J79" i="1"/>
  <c r="K79" i="1" s="1"/>
  <c r="J80" i="1"/>
  <c r="K80" i="1" s="1"/>
  <c r="J81" i="1"/>
  <c r="K81" i="1" s="1"/>
  <c r="J82" i="1"/>
  <c r="K82" i="1" s="1"/>
  <c r="J83" i="1"/>
  <c r="J84" i="1"/>
  <c r="J85" i="1"/>
  <c r="J86" i="1"/>
  <c r="K86" i="1" s="1"/>
  <c r="J87" i="1"/>
  <c r="K87" i="1" s="1"/>
  <c r="J88" i="1"/>
  <c r="K88" i="1" s="1"/>
  <c r="J89" i="1"/>
  <c r="K89" i="1" s="1"/>
  <c r="J90" i="1"/>
  <c r="K90" i="1" s="1"/>
  <c r="J91" i="1"/>
  <c r="J92" i="1"/>
  <c r="J93" i="1"/>
  <c r="J94" i="1"/>
  <c r="K94" i="1" s="1"/>
  <c r="J95" i="1"/>
  <c r="K95" i="1" s="1"/>
  <c r="J96" i="1"/>
  <c r="K96" i="1" s="1"/>
  <c r="J97" i="1"/>
  <c r="K97" i="1" s="1"/>
  <c r="J98" i="1"/>
  <c r="K98" i="1" s="1"/>
  <c r="J99" i="1"/>
  <c r="J100" i="1"/>
  <c r="J101" i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J108" i="1"/>
  <c r="J109" i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J116" i="1"/>
  <c r="J117" i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J124" i="1"/>
  <c r="J125" i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J132" i="1"/>
  <c r="J133" i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J140" i="1"/>
  <c r="J141" i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J148" i="1"/>
  <c r="J149" i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J156" i="1"/>
  <c r="J157" i="1"/>
  <c r="J158" i="1"/>
  <c r="K158" i="1" s="1"/>
  <c r="J159" i="1"/>
  <c r="K159" i="1" s="1"/>
  <c r="J160" i="1"/>
  <c r="K160" i="1" s="1"/>
  <c r="J161" i="1"/>
  <c r="K161" i="1" s="1"/>
  <c r="J2" i="1"/>
  <c r="I3" i="1"/>
  <c r="I4" i="1"/>
  <c r="K4" i="1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2" i="1"/>
  <c r="K3" i="1"/>
  <c r="K5" i="1"/>
  <c r="K11" i="1"/>
  <c r="K12" i="1"/>
  <c r="K13" i="1"/>
  <c r="K19" i="1"/>
  <c r="K20" i="1"/>
  <c r="K21" i="1"/>
  <c r="K27" i="1"/>
  <c r="K28" i="1"/>
  <c r="K29" i="1"/>
  <c r="K35" i="1"/>
  <c r="K36" i="1"/>
  <c r="K37" i="1"/>
  <c r="K43" i="1"/>
  <c r="K44" i="1"/>
  <c r="K45" i="1"/>
  <c r="K51" i="1"/>
  <c r="K52" i="1"/>
  <c r="K53" i="1"/>
  <c r="K59" i="1"/>
  <c r="K60" i="1"/>
  <c r="K61" i="1"/>
  <c r="K67" i="1"/>
  <c r="K68" i="1"/>
  <c r="K69" i="1"/>
  <c r="K75" i="1"/>
  <c r="K76" i="1"/>
  <c r="K77" i="1"/>
  <c r="K83" i="1"/>
  <c r="K84" i="1"/>
  <c r="K85" i="1"/>
  <c r="K91" i="1"/>
  <c r="K92" i="1"/>
  <c r="K93" i="1"/>
  <c r="K99" i="1"/>
  <c r="K100" i="1"/>
  <c r="K101" i="1"/>
  <c r="K107" i="1"/>
  <c r="K108" i="1"/>
  <c r="K109" i="1"/>
  <c r="K115" i="1"/>
  <c r="K116" i="1"/>
  <c r="K117" i="1"/>
  <c r="K123" i="1"/>
  <c r="K124" i="1"/>
  <c r="K125" i="1"/>
  <c r="K131" i="1"/>
  <c r="K132" i="1"/>
  <c r="K133" i="1"/>
  <c r="K139" i="1"/>
  <c r="K140" i="1"/>
  <c r="K141" i="1"/>
  <c r="K147" i="1"/>
  <c r="K148" i="1"/>
  <c r="K149" i="1"/>
  <c r="K155" i="1"/>
  <c r="K156" i="1"/>
  <c r="K157" i="1"/>
</calcChain>
</file>

<file path=xl/sharedStrings.xml><?xml version="1.0" encoding="utf-8"?>
<sst xmlns="http://schemas.openxmlformats.org/spreadsheetml/2006/main" count="5749" uniqueCount="321">
  <si>
    <t>Emp ID</t>
  </si>
  <si>
    <t>Employee Name</t>
  </si>
  <si>
    <t>Department</t>
  </si>
  <si>
    <t>Designation</t>
  </si>
  <si>
    <t>Basic Salary</t>
  </si>
  <si>
    <t>HRA</t>
  </si>
  <si>
    <t>DA</t>
  </si>
  <si>
    <t>TA</t>
  </si>
  <si>
    <t>PF</t>
  </si>
  <si>
    <t>Tax</t>
  </si>
  <si>
    <t>Gross Salary</t>
  </si>
  <si>
    <t>Net Salary</t>
  </si>
  <si>
    <t>Bank A/c No</t>
  </si>
  <si>
    <t>IFSC Code</t>
  </si>
  <si>
    <t>EMP001</t>
  </si>
  <si>
    <t>Vihaan Sharma</t>
  </si>
  <si>
    <t>Operations</t>
  </si>
  <si>
    <t>Operations Executive</t>
  </si>
  <si>
    <t>BOB0003472</t>
  </si>
  <si>
    <t>EMP002</t>
  </si>
  <si>
    <t>Myra Patil</t>
  </si>
  <si>
    <t>Sales</t>
  </si>
  <si>
    <t>Sales Executive</t>
  </si>
  <si>
    <t>SBI0005678</t>
  </si>
  <si>
    <t>EMP003</t>
  </si>
  <si>
    <t>Sara Deshmukh</t>
  </si>
  <si>
    <t>IT</t>
  </si>
  <si>
    <t>System Analyst</t>
  </si>
  <si>
    <t>AXIS0002389</t>
  </si>
  <si>
    <t>EMP004</t>
  </si>
  <si>
    <t>Ishaan Verma</t>
  </si>
  <si>
    <t>ICIC0003478</t>
  </si>
  <si>
    <t>EMP005</t>
  </si>
  <si>
    <t>Reyansh Mehta</t>
  </si>
  <si>
    <t>Marketing</t>
  </si>
  <si>
    <t>Brand Manager</t>
  </si>
  <si>
    <t>HDFC0001234</t>
  </si>
  <si>
    <t>EMP006</t>
  </si>
  <si>
    <t>Diya Gupta</t>
  </si>
  <si>
    <t>EMP007</t>
  </si>
  <si>
    <t>Aadhya Patil</t>
  </si>
  <si>
    <t>Operations Manager</t>
  </si>
  <si>
    <t>EMP008</t>
  </si>
  <si>
    <t>Ishaan Nair</t>
  </si>
  <si>
    <t>HR</t>
  </si>
  <si>
    <t>HR Executive</t>
  </si>
  <si>
    <t>EMP009</t>
  </si>
  <si>
    <t>Diya Mehta</t>
  </si>
  <si>
    <t>Admin</t>
  </si>
  <si>
    <t>Admin Officer</t>
  </si>
  <si>
    <t>EMP010</t>
  </si>
  <si>
    <t>Aditya Deshmukh</t>
  </si>
  <si>
    <t>Finance</t>
  </si>
  <si>
    <t>Accountant</t>
  </si>
  <si>
    <t>EMP011</t>
  </si>
  <si>
    <t>Myra Reddy</t>
  </si>
  <si>
    <t>Office Assistant</t>
  </si>
  <si>
    <t>KKBK0002234</t>
  </si>
  <si>
    <t>EMP012</t>
  </si>
  <si>
    <t>Saanvi Yadav</t>
  </si>
  <si>
    <t>EMP013</t>
  </si>
  <si>
    <t>Pari Yadav</t>
  </si>
  <si>
    <t>Customer Support</t>
  </si>
  <si>
    <t>Support Associate</t>
  </si>
  <si>
    <t>EMP014</t>
  </si>
  <si>
    <t>Myra Singh</t>
  </si>
  <si>
    <t>EMP015</t>
  </si>
  <si>
    <t>Arjun Singh</t>
  </si>
  <si>
    <t>EMP016</t>
  </si>
  <si>
    <t>Sai Yadav</t>
  </si>
  <si>
    <t>HR Manager</t>
  </si>
  <si>
    <t>PNB0001287</t>
  </si>
  <si>
    <t>EMP017</t>
  </si>
  <si>
    <t>Reyansh Singh</t>
  </si>
  <si>
    <t>Software Engineer</t>
  </si>
  <si>
    <t>EMP018</t>
  </si>
  <si>
    <t>Reyansh Gupta</t>
  </si>
  <si>
    <t>EMP019</t>
  </si>
  <si>
    <t>EMP020</t>
  </si>
  <si>
    <t>Krishna Mehta</t>
  </si>
  <si>
    <t>EMP021</t>
  </si>
  <si>
    <t>Tanya Gupta</t>
  </si>
  <si>
    <t>EMP022</t>
  </si>
  <si>
    <t>Rohan Reddy</t>
  </si>
  <si>
    <t>EMP023</t>
  </si>
  <si>
    <t>Pari Patil</t>
  </si>
  <si>
    <t>EMP024</t>
  </si>
  <si>
    <t>EMP025</t>
  </si>
  <si>
    <t>Rohan Yadav</t>
  </si>
  <si>
    <t>EMP026</t>
  </si>
  <si>
    <t>Ishaan Patil</t>
  </si>
  <si>
    <t>EMP027</t>
  </si>
  <si>
    <t>Ishaan Sharma</t>
  </si>
  <si>
    <t>EMP028</t>
  </si>
  <si>
    <t>Saanvi Patil</t>
  </si>
  <si>
    <t>EMP029</t>
  </si>
  <si>
    <t>Arjun Deshmukh</t>
  </si>
  <si>
    <t>EMP030</t>
  </si>
  <si>
    <t>Vihaan Patil</t>
  </si>
  <si>
    <t>Sales Manager</t>
  </si>
  <si>
    <t>EMP031</t>
  </si>
  <si>
    <t>Vivaan Patil</t>
  </si>
  <si>
    <t>Data Analyst</t>
  </si>
  <si>
    <t>EMP032</t>
  </si>
  <si>
    <t>Krishna Reddy</t>
  </si>
  <si>
    <t>EMP033</t>
  </si>
  <si>
    <t>EMP034</t>
  </si>
  <si>
    <t>Aarav Patil</t>
  </si>
  <si>
    <t>Marketing Executive</t>
  </si>
  <si>
    <t>EMP035</t>
  </si>
  <si>
    <t>Aadhya Sharma</t>
  </si>
  <si>
    <t>Financial Analyst</t>
  </si>
  <si>
    <t>EMP036</t>
  </si>
  <si>
    <t>Avni Nair</t>
  </si>
  <si>
    <t>EMP037</t>
  </si>
  <si>
    <t>Vivaan Deshmukh</t>
  </si>
  <si>
    <t>Web Developer</t>
  </si>
  <si>
    <t>EMP038</t>
  </si>
  <si>
    <t>Sara Mehta</t>
  </si>
  <si>
    <t>EMP039</t>
  </si>
  <si>
    <t>Ishaan Yadav</t>
  </si>
  <si>
    <t>EMP040</t>
  </si>
  <si>
    <t>Aditya Yadav</t>
  </si>
  <si>
    <t>EMP041</t>
  </si>
  <si>
    <t>Reyansh Yadav</t>
  </si>
  <si>
    <t>EMP042</t>
  </si>
  <si>
    <t>Avni Deshmukh</t>
  </si>
  <si>
    <t>EMP043</t>
  </si>
  <si>
    <t>Arjun Gupta</t>
  </si>
  <si>
    <t>EMP044</t>
  </si>
  <si>
    <t>Myra Nair</t>
  </si>
  <si>
    <t>EMP045</t>
  </si>
  <si>
    <t>EMP046</t>
  </si>
  <si>
    <t>Saanvi Reddy</t>
  </si>
  <si>
    <t>EMP047</t>
  </si>
  <si>
    <t>Ananya Nair</t>
  </si>
  <si>
    <t>EMP048</t>
  </si>
  <si>
    <t>Support Lead</t>
  </si>
  <si>
    <t>EMP049</t>
  </si>
  <si>
    <t>EMP050</t>
  </si>
  <si>
    <t>Arjun Sharma</t>
  </si>
  <si>
    <t>EMP051</t>
  </si>
  <si>
    <t>EMP052</t>
  </si>
  <si>
    <t>Sai Mehta</t>
  </si>
  <si>
    <t>EMP053</t>
  </si>
  <si>
    <t>Ananya Reddy</t>
  </si>
  <si>
    <t>EMP054</t>
  </si>
  <si>
    <t>Vivaan Verma</t>
  </si>
  <si>
    <t>EMP055</t>
  </si>
  <si>
    <t>Ishaan Reddy</t>
  </si>
  <si>
    <t>EMP056</t>
  </si>
  <si>
    <t>Aditya Nair</t>
  </si>
  <si>
    <t>EMP057</t>
  </si>
  <si>
    <t>EMP058</t>
  </si>
  <si>
    <t>Vihaan Deshmukh</t>
  </si>
  <si>
    <t>EMP059</t>
  </si>
  <si>
    <t>Tanya Singh</t>
  </si>
  <si>
    <t>EMP060</t>
  </si>
  <si>
    <t>Ananya Sharma</t>
  </si>
  <si>
    <t>EMP061</t>
  </si>
  <si>
    <t>EMP062</t>
  </si>
  <si>
    <t>Rohan Singh</t>
  </si>
  <si>
    <t>EMP063</t>
  </si>
  <si>
    <t>Sai Deshmukh</t>
  </si>
  <si>
    <t>EMP064</t>
  </si>
  <si>
    <t>EMP065</t>
  </si>
  <si>
    <t>Krishna Singh</t>
  </si>
  <si>
    <t>EMP066</t>
  </si>
  <si>
    <t>EMP067</t>
  </si>
  <si>
    <t>EMP068</t>
  </si>
  <si>
    <t>Aditya Verma</t>
  </si>
  <si>
    <t>EMP069</t>
  </si>
  <si>
    <t>Aadhya Reddy</t>
  </si>
  <si>
    <t>EMP070</t>
  </si>
  <si>
    <t>Sai Singh</t>
  </si>
  <si>
    <t>EMP071</t>
  </si>
  <si>
    <t>Arjun Verma</t>
  </si>
  <si>
    <t>EMP072</t>
  </si>
  <si>
    <t>Myra Verma</t>
  </si>
  <si>
    <t>EMP073</t>
  </si>
  <si>
    <t>EMP074</t>
  </si>
  <si>
    <t>EMP075</t>
  </si>
  <si>
    <t>Arjun Mehta</t>
  </si>
  <si>
    <t>EMP076</t>
  </si>
  <si>
    <t>Ananya Yadav</t>
  </si>
  <si>
    <t>EMP077</t>
  </si>
  <si>
    <t>EMP078</t>
  </si>
  <si>
    <t>Aadhya Yadav</t>
  </si>
  <si>
    <t>EMP079</t>
  </si>
  <si>
    <t>Aarav Yadav</t>
  </si>
  <si>
    <t>EMP080</t>
  </si>
  <si>
    <t>EMP081</t>
  </si>
  <si>
    <t>Ananya Mehta</t>
  </si>
  <si>
    <t>EMP082</t>
  </si>
  <si>
    <t>Krishna Verma</t>
  </si>
  <si>
    <t>EMP083</t>
  </si>
  <si>
    <t>EMP084</t>
  </si>
  <si>
    <t>Vivaan Sharma</t>
  </si>
  <si>
    <t>EMP085</t>
  </si>
  <si>
    <t>EMP086</t>
  </si>
  <si>
    <t>EMP087</t>
  </si>
  <si>
    <t>Isha Yadav</t>
  </si>
  <si>
    <t>EMP088</t>
  </si>
  <si>
    <t>Rohan Deshmukh</t>
  </si>
  <si>
    <t>EMP089</t>
  </si>
  <si>
    <t>Diya Patil</t>
  </si>
  <si>
    <t>EMP090</t>
  </si>
  <si>
    <t>Ananya Gupta</t>
  </si>
  <si>
    <t>EMP091</t>
  </si>
  <si>
    <t>Reyansh Deshmukh</t>
  </si>
  <si>
    <t>EMP092</t>
  </si>
  <si>
    <t>EMP093</t>
  </si>
  <si>
    <t>Tanya Yadav</t>
  </si>
  <si>
    <t>EMP094</t>
  </si>
  <si>
    <t>Pari Reddy</t>
  </si>
  <si>
    <t>EMP095</t>
  </si>
  <si>
    <t>Aarav Singh</t>
  </si>
  <si>
    <t>EMP096</t>
  </si>
  <si>
    <t>EMP097</t>
  </si>
  <si>
    <t>EMP098</t>
  </si>
  <si>
    <t>EMP099</t>
  </si>
  <si>
    <t>EMP100</t>
  </si>
  <si>
    <t>Vihaan Singh</t>
  </si>
  <si>
    <t>EMP101</t>
  </si>
  <si>
    <t>Isha Singh</t>
  </si>
  <si>
    <t>EMP102</t>
  </si>
  <si>
    <t>Sai Nair</t>
  </si>
  <si>
    <t>EMP103</t>
  </si>
  <si>
    <t>Rohan Mehta</t>
  </si>
  <si>
    <t>EMP104</t>
  </si>
  <si>
    <t>Pari Verma</t>
  </si>
  <si>
    <t>EMP105</t>
  </si>
  <si>
    <t>EMP106</t>
  </si>
  <si>
    <t>EMP107</t>
  </si>
  <si>
    <t>Tanya Deshmukh</t>
  </si>
  <si>
    <t>EMP108</t>
  </si>
  <si>
    <t>EMP109</t>
  </si>
  <si>
    <t>EMP110</t>
  </si>
  <si>
    <t>Aditya Mehta</t>
  </si>
  <si>
    <t>EMP111</t>
  </si>
  <si>
    <t>Vivaan Reddy</t>
  </si>
  <si>
    <t>EMP112</t>
  </si>
  <si>
    <t>EMP113</t>
  </si>
  <si>
    <t>Arjun Nair</t>
  </si>
  <si>
    <t>EMP114</t>
  </si>
  <si>
    <t>Isha Nair</t>
  </si>
  <si>
    <t>EMP115</t>
  </si>
  <si>
    <t>Aadhya Nair</t>
  </si>
  <si>
    <t>EMP116</t>
  </si>
  <si>
    <t>Saanvi Deshmukh</t>
  </si>
  <si>
    <t>EMP117</t>
  </si>
  <si>
    <t>EMP118</t>
  </si>
  <si>
    <t>EMP119</t>
  </si>
  <si>
    <t>Saanvi Gupta</t>
  </si>
  <si>
    <t>EMP120</t>
  </si>
  <si>
    <t>Aadhya Singh</t>
  </si>
  <si>
    <t>EMP121</t>
  </si>
  <si>
    <t>Vihaan Yadav</t>
  </si>
  <si>
    <t>EMP122</t>
  </si>
  <si>
    <t>Diya Deshmukh</t>
  </si>
  <si>
    <t>EMP123</t>
  </si>
  <si>
    <t>EMP124</t>
  </si>
  <si>
    <t>EMP125</t>
  </si>
  <si>
    <t>Vihaan Mehta</t>
  </si>
  <si>
    <t>EMP126</t>
  </si>
  <si>
    <t>EMP127</t>
  </si>
  <si>
    <t>EMP128</t>
  </si>
  <si>
    <t>Sara Nair</t>
  </si>
  <si>
    <t>EMP129</t>
  </si>
  <si>
    <t>EMP130</t>
  </si>
  <si>
    <t>Avni Gupta</t>
  </si>
  <si>
    <t>EMP131</t>
  </si>
  <si>
    <t>EMP132</t>
  </si>
  <si>
    <t>EMP133</t>
  </si>
  <si>
    <t>Vihaan Verma</t>
  </si>
  <si>
    <t>EMP134</t>
  </si>
  <si>
    <t>Arjun Patil</t>
  </si>
  <si>
    <t>EMP135</t>
  </si>
  <si>
    <t>Aditya Gupta</t>
  </si>
  <si>
    <t>EMP136</t>
  </si>
  <si>
    <t>Myra Sharma</t>
  </si>
  <si>
    <t>EMP137</t>
  </si>
  <si>
    <t>EMP138</t>
  </si>
  <si>
    <t>Vivaan Gupta</t>
  </si>
  <si>
    <t>EMP139</t>
  </si>
  <si>
    <t>Ishaan Singh</t>
  </si>
  <si>
    <t>EMP140</t>
  </si>
  <si>
    <t>Aadhya Deshmukh</t>
  </si>
  <si>
    <t>EMP141</t>
  </si>
  <si>
    <t>Reyansh Verma</t>
  </si>
  <si>
    <t>EMP142</t>
  </si>
  <si>
    <t>Myra Mehta</t>
  </si>
  <si>
    <t>EMP143</t>
  </si>
  <si>
    <t>EMP144</t>
  </si>
  <si>
    <t>EMP145</t>
  </si>
  <si>
    <t>EMP146</t>
  </si>
  <si>
    <t>EMP147</t>
  </si>
  <si>
    <t>EMP148</t>
  </si>
  <si>
    <t>EMP149</t>
  </si>
  <si>
    <t>Myra Gupta</t>
  </si>
  <si>
    <t>EMP150</t>
  </si>
  <si>
    <t>Rohan Gupta</t>
  </si>
  <si>
    <t>EMP151</t>
  </si>
  <si>
    <t>EMP152</t>
  </si>
  <si>
    <t>EMP153</t>
  </si>
  <si>
    <t>EMP154</t>
  </si>
  <si>
    <t>EMP155</t>
  </si>
  <si>
    <t>EMP156</t>
  </si>
  <si>
    <t>Diya Singh</t>
  </si>
  <si>
    <t>EMP157</t>
  </si>
  <si>
    <t>Pari Deshmukh</t>
  </si>
  <si>
    <t>EMP158</t>
  </si>
  <si>
    <t>Avni Verma</t>
  </si>
  <si>
    <t>EMP159</t>
  </si>
  <si>
    <t>Diya Sharma</t>
  </si>
  <si>
    <t>EMP160</t>
  </si>
  <si>
    <t>Avni Patil</t>
  </si>
  <si>
    <t>P</t>
  </si>
  <si>
    <t>A</t>
  </si>
  <si>
    <t>SL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</si>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</sst>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workbookViewId="0">
      <selection activeCell="P11" sqref="P10:P11"/>
    </sheetView>
  </sheetViews>
  <sheetFormatPr defaultRowHeight="14.4" x14ac:dyDescent="0.3"/>
  <cols>
    <col min="1" max="1" width="7.6640625" bestFit="1" customWidth="1"/>
    <col min="2" max="2" width="16.77734375" bestFit="1" customWidth="1"/>
    <col min="3" max="3" width="15.77734375" bestFit="1" customWidth="1"/>
    <col min="4" max="4" width="18.44140625" bestFit="1" customWidth="1"/>
    <col min="5" max="5" width="10.77734375" bestFit="1" customWidth="1"/>
    <col min="6" max="6" width="8" bestFit="1" customWidth="1"/>
    <col min="7" max="7" width="7" bestFit="1" customWidth="1"/>
    <col min="8" max="9" width="8" bestFit="1" customWidth="1"/>
    <col min="10" max="10" width="9" bestFit="1" customWidth="1"/>
    <col min="11" max="11" width="11.109375" bestFit="1" customWidth="1"/>
    <col min="12" max="12" width="9.5546875" bestFit="1" customWidth="1"/>
    <col min="13" max="13" width="15.6640625" bestFit="1" customWidth="1"/>
    <col min="14" max="14" width="12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>
        <v>24144</v>
      </c>
      <c r="F2" s="2">
        <f>E2*20%</f>
        <v>4828.8</v>
      </c>
      <c r="G2" s="2">
        <f>E2*10%</f>
        <v>2414.4</v>
      </c>
      <c r="H2" s="2">
        <f>E2*6%</f>
        <v>1448.6399999999999</v>
      </c>
      <c r="I2" s="2">
        <f>E2*12%</f>
        <v>2897.2799999999997</v>
      </c>
      <c r="J2" s="2">
        <f>E2*5%</f>
        <v>1207.2</v>
      </c>
      <c r="K2" s="5">
        <f>SUM(E2:J2)</f>
        <v>36940.32</v>
      </c>
      <c r="L2" s="5">
        <f>K2-(I2+J2)</f>
        <v>32835.839999999997</v>
      </c>
      <c r="M2" s="3">
        <v>893475622679</v>
      </c>
      <c r="N2" s="2" t="s">
        <v>18</v>
      </c>
    </row>
    <row r="3" spans="1:14" x14ac:dyDescent="0.3">
      <c r="A3" s="2" t="s">
        <v>19</v>
      </c>
      <c r="B3" s="2" t="s">
        <v>20</v>
      </c>
      <c r="C3" s="2" t="s">
        <v>21</v>
      </c>
      <c r="D3" s="2" t="s">
        <v>22</v>
      </c>
      <c r="E3" s="2">
        <v>21140</v>
      </c>
      <c r="F3" s="2">
        <f t="shared" ref="F3:F66" si="0">E3*20%</f>
        <v>4228</v>
      </c>
      <c r="G3" s="2">
        <f t="shared" ref="G3:G66" si="1">E3*10%</f>
        <v>2114</v>
      </c>
      <c r="H3" s="2">
        <f t="shared" ref="H3:H66" si="2">E3*6%</f>
        <v>1268.3999999999999</v>
      </c>
      <c r="I3" s="2">
        <f t="shared" ref="I3:I66" si="3">E3*12%</f>
        <v>2536.7999999999997</v>
      </c>
      <c r="J3" s="2">
        <f t="shared" ref="J3:J66" si="4">E3*5%</f>
        <v>1057</v>
      </c>
      <c r="K3" s="5">
        <f t="shared" ref="K3:K66" si="5">SUM(E3:J3)</f>
        <v>32344.2</v>
      </c>
      <c r="L3" s="5">
        <f t="shared" ref="L3:L66" si="6">K3-(I3+J3)</f>
        <v>28750.400000000001</v>
      </c>
      <c r="M3" s="3">
        <v>893475624582</v>
      </c>
      <c r="N3" s="2" t="s">
        <v>23</v>
      </c>
    </row>
    <row r="4" spans="1:14" x14ac:dyDescent="0.3">
      <c r="A4" s="2" t="s">
        <v>24</v>
      </c>
      <c r="B4" s="2" t="s">
        <v>25</v>
      </c>
      <c r="C4" s="2" t="s">
        <v>26</v>
      </c>
      <c r="D4" s="2" t="s">
        <v>27</v>
      </c>
      <c r="E4" s="2">
        <v>57590</v>
      </c>
      <c r="F4" s="2">
        <f t="shared" si="0"/>
        <v>11518</v>
      </c>
      <c r="G4" s="2">
        <f t="shared" si="1"/>
        <v>5759</v>
      </c>
      <c r="H4" s="2">
        <f t="shared" si="2"/>
        <v>3455.4</v>
      </c>
      <c r="I4" s="2">
        <f t="shared" si="3"/>
        <v>6910.8</v>
      </c>
      <c r="J4" s="2">
        <f t="shared" si="4"/>
        <v>2879.5</v>
      </c>
      <c r="K4" s="5">
        <f t="shared" si="5"/>
        <v>88112.7</v>
      </c>
      <c r="L4" s="5">
        <f t="shared" si="6"/>
        <v>78322.399999999994</v>
      </c>
      <c r="M4" s="3">
        <v>893475629928</v>
      </c>
      <c r="N4" s="2" t="s">
        <v>28</v>
      </c>
    </row>
    <row r="5" spans="1:14" x14ac:dyDescent="0.3">
      <c r="A5" s="2" t="s">
        <v>29</v>
      </c>
      <c r="B5" s="2" t="s">
        <v>30</v>
      </c>
      <c r="C5" s="2" t="s">
        <v>16</v>
      </c>
      <c r="D5" s="2" t="s">
        <v>17</v>
      </c>
      <c r="E5" s="2">
        <v>60753</v>
      </c>
      <c r="F5" s="2">
        <f t="shared" si="0"/>
        <v>12150.6</v>
      </c>
      <c r="G5" s="2">
        <f t="shared" si="1"/>
        <v>6075.3</v>
      </c>
      <c r="H5" s="2">
        <f t="shared" si="2"/>
        <v>3645.18</v>
      </c>
      <c r="I5" s="2">
        <f t="shared" si="3"/>
        <v>7290.36</v>
      </c>
      <c r="J5" s="2">
        <f t="shared" si="4"/>
        <v>3037.65</v>
      </c>
      <c r="K5" s="5">
        <f t="shared" si="5"/>
        <v>92952.09</v>
      </c>
      <c r="L5" s="5">
        <f t="shared" si="6"/>
        <v>82624.08</v>
      </c>
      <c r="M5" s="3">
        <v>893475627924</v>
      </c>
      <c r="N5" s="2" t="s">
        <v>31</v>
      </c>
    </row>
    <row r="6" spans="1:14" x14ac:dyDescent="0.3">
      <c r="A6" s="2" t="s">
        <v>32</v>
      </c>
      <c r="B6" s="2" t="s">
        <v>33</v>
      </c>
      <c r="C6" s="2" t="s">
        <v>34</v>
      </c>
      <c r="D6" s="2" t="s">
        <v>35</v>
      </c>
      <c r="E6" s="2">
        <v>21078</v>
      </c>
      <c r="F6" s="2">
        <f t="shared" si="0"/>
        <v>4215.6000000000004</v>
      </c>
      <c r="G6" s="2">
        <f t="shared" si="1"/>
        <v>2107.8000000000002</v>
      </c>
      <c r="H6" s="2">
        <f t="shared" si="2"/>
        <v>1264.68</v>
      </c>
      <c r="I6" s="2">
        <f t="shared" si="3"/>
        <v>2529.36</v>
      </c>
      <c r="J6" s="2">
        <f t="shared" si="4"/>
        <v>1053.9000000000001</v>
      </c>
      <c r="K6" s="5">
        <f t="shared" si="5"/>
        <v>32249.34</v>
      </c>
      <c r="L6" s="5">
        <f t="shared" si="6"/>
        <v>28666.080000000002</v>
      </c>
      <c r="M6" s="3">
        <v>893475627224</v>
      </c>
      <c r="N6" s="2" t="s">
        <v>36</v>
      </c>
    </row>
    <row r="7" spans="1:14" x14ac:dyDescent="0.3">
      <c r="A7" s="2" t="s">
        <v>37</v>
      </c>
      <c r="B7" s="2" t="s">
        <v>38</v>
      </c>
      <c r="C7" s="2" t="s">
        <v>16</v>
      </c>
      <c r="D7" s="2" t="s">
        <v>17</v>
      </c>
      <c r="E7" s="2">
        <v>45108</v>
      </c>
      <c r="F7" s="2">
        <f t="shared" si="0"/>
        <v>9021.6</v>
      </c>
      <c r="G7" s="2">
        <f t="shared" si="1"/>
        <v>4510.8</v>
      </c>
      <c r="H7" s="2">
        <f t="shared" si="2"/>
        <v>2706.48</v>
      </c>
      <c r="I7" s="2">
        <f t="shared" si="3"/>
        <v>5412.96</v>
      </c>
      <c r="J7" s="2">
        <f t="shared" si="4"/>
        <v>2255.4</v>
      </c>
      <c r="K7" s="5">
        <f t="shared" si="5"/>
        <v>69015.240000000005</v>
      </c>
      <c r="L7" s="5">
        <f t="shared" si="6"/>
        <v>61346.880000000005</v>
      </c>
      <c r="M7" s="3">
        <v>893475629785</v>
      </c>
      <c r="N7" s="2" t="s">
        <v>36</v>
      </c>
    </row>
    <row r="8" spans="1:14" x14ac:dyDescent="0.3">
      <c r="A8" s="2" t="s">
        <v>39</v>
      </c>
      <c r="B8" s="2" t="s">
        <v>40</v>
      </c>
      <c r="C8" s="2" t="s">
        <v>16</v>
      </c>
      <c r="D8" s="2" t="s">
        <v>41</v>
      </c>
      <c r="E8" s="2">
        <v>27601</v>
      </c>
      <c r="F8" s="2">
        <f t="shared" si="0"/>
        <v>5520.2000000000007</v>
      </c>
      <c r="G8" s="2">
        <f t="shared" si="1"/>
        <v>2760.1000000000004</v>
      </c>
      <c r="H8" s="2">
        <f t="shared" si="2"/>
        <v>1656.06</v>
      </c>
      <c r="I8" s="2">
        <f t="shared" si="3"/>
        <v>3312.12</v>
      </c>
      <c r="J8" s="2">
        <f t="shared" si="4"/>
        <v>1380.0500000000002</v>
      </c>
      <c r="K8" s="5">
        <f t="shared" si="5"/>
        <v>42229.53</v>
      </c>
      <c r="L8" s="5">
        <f t="shared" si="6"/>
        <v>37537.360000000001</v>
      </c>
      <c r="M8" s="3">
        <v>893475622139</v>
      </c>
      <c r="N8" s="2" t="s">
        <v>36</v>
      </c>
    </row>
    <row r="9" spans="1:14" x14ac:dyDescent="0.3">
      <c r="A9" s="2" t="s">
        <v>42</v>
      </c>
      <c r="B9" s="2" t="s">
        <v>43</v>
      </c>
      <c r="C9" s="2" t="s">
        <v>44</v>
      </c>
      <c r="D9" s="2" t="s">
        <v>45</v>
      </c>
      <c r="E9" s="2">
        <v>39911</v>
      </c>
      <c r="F9" s="2">
        <f t="shared" si="0"/>
        <v>7982.2000000000007</v>
      </c>
      <c r="G9" s="2">
        <f t="shared" si="1"/>
        <v>3991.1000000000004</v>
      </c>
      <c r="H9" s="2">
        <f t="shared" si="2"/>
        <v>2394.66</v>
      </c>
      <c r="I9" s="2">
        <f t="shared" si="3"/>
        <v>4789.32</v>
      </c>
      <c r="J9" s="2">
        <f t="shared" si="4"/>
        <v>1995.5500000000002</v>
      </c>
      <c r="K9" s="5">
        <f t="shared" si="5"/>
        <v>61063.829999999994</v>
      </c>
      <c r="L9" s="5">
        <f t="shared" si="6"/>
        <v>54278.959999999992</v>
      </c>
      <c r="M9" s="3">
        <v>893475625554</v>
      </c>
      <c r="N9" s="2" t="s">
        <v>28</v>
      </c>
    </row>
    <row r="10" spans="1:14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>
        <v>58920</v>
      </c>
      <c r="F10" s="2">
        <f t="shared" si="0"/>
        <v>11784</v>
      </c>
      <c r="G10" s="2">
        <f t="shared" si="1"/>
        <v>5892</v>
      </c>
      <c r="H10" s="2">
        <f t="shared" si="2"/>
        <v>3535.2</v>
      </c>
      <c r="I10" s="2">
        <f t="shared" si="3"/>
        <v>7070.4</v>
      </c>
      <c r="J10" s="2">
        <f t="shared" si="4"/>
        <v>2946</v>
      </c>
      <c r="K10" s="5">
        <f t="shared" si="5"/>
        <v>90147.599999999991</v>
      </c>
      <c r="L10" s="5">
        <f t="shared" si="6"/>
        <v>80131.199999999997</v>
      </c>
      <c r="M10" s="3">
        <v>893475625374</v>
      </c>
      <c r="N10" s="2" t="s">
        <v>18</v>
      </c>
    </row>
    <row r="11" spans="1:14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>
        <v>45294</v>
      </c>
      <c r="F11" s="2">
        <f t="shared" si="0"/>
        <v>9058.8000000000011</v>
      </c>
      <c r="G11" s="2">
        <f t="shared" si="1"/>
        <v>4529.4000000000005</v>
      </c>
      <c r="H11" s="2">
        <f t="shared" si="2"/>
        <v>2717.64</v>
      </c>
      <c r="I11" s="2">
        <f t="shared" si="3"/>
        <v>5435.28</v>
      </c>
      <c r="J11" s="2">
        <f t="shared" si="4"/>
        <v>2264.7000000000003</v>
      </c>
      <c r="K11" s="5">
        <f t="shared" si="5"/>
        <v>69299.820000000007</v>
      </c>
      <c r="L11" s="5">
        <f t="shared" si="6"/>
        <v>61599.840000000011</v>
      </c>
      <c r="M11" s="3">
        <v>893475627216</v>
      </c>
      <c r="N11" s="2" t="s">
        <v>31</v>
      </c>
    </row>
    <row r="12" spans="1:14" x14ac:dyDescent="0.3">
      <c r="A12" s="2" t="s">
        <v>54</v>
      </c>
      <c r="B12" s="2" t="s">
        <v>55</v>
      </c>
      <c r="C12" s="2" t="s">
        <v>48</v>
      </c>
      <c r="D12" s="2" t="s">
        <v>56</v>
      </c>
      <c r="E12" s="2">
        <v>68857</v>
      </c>
      <c r="F12" s="2">
        <f t="shared" si="0"/>
        <v>13771.400000000001</v>
      </c>
      <c r="G12" s="2">
        <f t="shared" si="1"/>
        <v>6885.7000000000007</v>
      </c>
      <c r="H12" s="2">
        <f t="shared" si="2"/>
        <v>4131.42</v>
      </c>
      <c r="I12" s="2">
        <f t="shared" si="3"/>
        <v>8262.84</v>
      </c>
      <c r="J12" s="2">
        <f t="shared" si="4"/>
        <v>3442.8500000000004</v>
      </c>
      <c r="K12" s="5">
        <f t="shared" si="5"/>
        <v>105351.20999999999</v>
      </c>
      <c r="L12" s="5">
        <f t="shared" si="6"/>
        <v>93645.51999999999</v>
      </c>
      <c r="M12" s="3">
        <v>893475621525</v>
      </c>
      <c r="N12" s="2" t="s">
        <v>57</v>
      </c>
    </row>
    <row r="13" spans="1:14" x14ac:dyDescent="0.3">
      <c r="A13" s="2" t="s">
        <v>58</v>
      </c>
      <c r="B13" s="2" t="s">
        <v>59</v>
      </c>
      <c r="C13" s="2" t="s">
        <v>16</v>
      </c>
      <c r="D13" s="2" t="s">
        <v>17</v>
      </c>
      <c r="E13" s="2">
        <v>74843</v>
      </c>
      <c r="F13" s="2">
        <f t="shared" si="0"/>
        <v>14968.6</v>
      </c>
      <c r="G13" s="2">
        <f t="shared" si="1"/>
        <v>7484.3</v>
      </c>
      <c r="H13" s="2">
        <f t="shared" si="2"/>
        <v>4490.58</v>
      </c>
      <c r="I13" s="2">
        <f t="shared" si="3"/>
        <v>8981.16</v>
      </c>
      <c r="J13" s="2">
        <f t="shared" si="4"/>
        <v>3742.15</v>
      </c>
      <c r="K13" s="5">
        <f t="shared" si="5"/>
        <v>114509.79000000001</v>
      </c>
      <c r="L13" s="5">
        <f t="shared" si="6"/>
        <v>101786.48000000001</v>
      </c>
      <c r="M13" s="3">
        <v>893475626155</v>
      </c>
      <c r="N13" s="2" t="s">
        <v>23</v>
      </c>
    </row>
    <row r="14" spans="1:14" x14ac:dyDescent="0.3">
      <c r="A14" s="2" t="s">
        <v>60</v>
      </c>
      <c r="B14" s="2" t="s">
        <v>61</v>
      </c>
      <c r="C14" s="2" t="s">
        <v>62</v>
      </c>
      <c r="D14" s="2" t="s">
        <v>63</v>
      </c>
      <c r="E14" s="2">
        <v>24150</v>
      </c>
      <c r="F14" s="2">
        <f t="shared" si="0"/>
        <v>4830</v>
      </c>
      <c r="G14" s="2">
        <f t="shared" si="1"/>
        <v>2415</v>
      </c>
      <c r="H14" s="2">
        <f t="shared" si="2"/>
        <v>1449</v>
      </c>
      <c r="I14" s="2">
        <f t="shared" si="3"/>
        <v>2898</v>
      </c>
      <c r="J14" s="2">
        <f t="shared" si="4"/>
        <v>1207.5</v>
      </c>
      <c r="K14" s="5">
        <f t="shared" si="5"/>
        <v>36949.5</v>
      </c>
      <c r="L14" s="5">
        <f t="shared" si="6"/>
        <v>32844</v>
      </c>
      <c r="M14" s="3">
        <v>893475625040</v>
      </c>
      <c r="N14" s="2" t="s">
        <v>18</v>
      </c>
    </row>
    <row r="15" spans="1:14" x14ac:dyDescent="0.3">
      <c r="A15" s="2" t="s">
        <v>64</v>
      </c>
      <c r="B15" s="2" t="s">
        <v>65</v>
      </c>
      <c r="C15" s="2" t="s">
        <v>16</v>
      </c>
      <c r="D15" s="2" t="s">
        <v>41</v>
      </c>
      <c r="E15" s="2">
        <v>41175</v>
      </c>
      <c r="F15" s="2">
        <f t="shared" si="0"/>
        <v>8235</v>
      </c>
      <c r="G15" s="2">
        <f t="shared" si="1"/>
        <v>4117.5</v>
      </c>
      <c r="H15" s="2">
        <f t="shared" si="2"/>
        <v>2470.5</v>
      </c>
      <c r="I15" s="2">
        <f t="shared" si="3"/>
        <v>4941</v>
      </c>
      <c r="J15" s="2">
        <f t="shared" si="4"/>
        <v>2058.75</v>
      </c>
      <c r="K15" s="5">
        <f t="shared" si="5"/>
        <v>62997.75</v>
      </c>
      <c r="L15" s="5">
        <f t="shared" si="6"/>
        <v>55998</v>
      </c>
      <c r="M15" s="3">
        <v>893475626930</v>
      </c>
      <c r="N15" s="2" t="s">
        <v>23</v>
      </c>
    </row>
    <row r="16" spans="1:14" x14ac:dyDescent="0.3">
      <c r="A16" s="2" t="s">
        <v>66</v>
      </c>
      <c r="B16" s="2" t="s">
        <v>67</v>
      </c>
      <c r="C16" s="2" t="s">
        <v>62</v>
      </c>
      <c r="D16" s="2" t="s">
        <v>63</v>
      </c>
      <c r="E16" s="2">
        <v>71433</v>
      </c>
      <c r="F16" s="2">
        <f t="shared" si="0"/>
        <v>14286.6</v>
      </c>
      <c r="G16" s="2">
        <f t="shared" si="1"/>
        <v>7143.3</v>
      </c>
      <c r="H16" s="2">
        <f t="shared" si="2"/>
        <v>4285.9799999999996</v>
      </c>
      <c r="I16" s="2">
        <f t="shared" si="3"/>
        <v>8571.9599999999991</v>
      </c>
      <c r="J16" s="2">
        <f t="shared" si="4"/>
        <v>3571.65</v>
      </c>
      <c r="K16" s="5">
        <f t="shared" si="5"/>
        <v>109292.48999999999</v>
      </c>
      <c r="L16" s="5">
        <f t="shared" si="6"/>
        <v>97148.87999999999</v>
      </c>
      <c r="M16" s="3">
        <v>893475622796</v>
      </c>
      <c r="N16" s="2" t="s">
        <v>23</v>
      </c>
    </row>
    <row r="17" spans="1:14" x14ac:dyDescent="0.3">
      <c r="A17" s="2" t="s">
        <v>68</v>
      </c>
      <c r="B17" s="2" t="s">
        <v>69</v>
      </c>
      <c r="C17" s="2" t="s">
        <v>44</v>
      </c>
      <c r="D17" s="2" t="s">
        <v>70</v>
      </c>
      <c r="E17" s="2">
        <v>54052</v>
      </c>
      <c r="F17" s="2">
        <f t="shared" si="0"/>
        <v>10810.400000000001</v>
      </c>
      <c r="G17" s="2">
        <f t="shared" si="1"/>
        <v>5405.2000000000007</v>
      </c>
      <c r="H17" s="2">
        <f t="shared" si="2"/>
        <v>3243.12</v>
      </c>
      <c r="I17" s="2">
        <f t="shared" si="3"/>
        <v>6486.24</v>
      </c>
      <c r="J17" s="2">
        <f t="shared" si="4"/>
        <v>2702.6000000000004</v>
      </c>
      <c r="K17" s="5">
        <f t="shared" si="5"/>
        <v>82699.560000000012</v>
      </c>
      <c r="L17" s="5">
        <f t="shared" si="6"/>
        <v>73510.720000000016</v>
      </c>
      <c r="M17" s="3">
        <v>893475628668</v>
      </c>
      <c r="N17" s="2" t="s">
        <v>71</v>
      </c>
    </row>
    <row r="18" spans="1:14" x14ac:dyDescent="0.3">
      <c r="A18" s="2" t="s">
        <v>72</v>
      </c>
      <c r="B18" s="2" t="s">
        <v>73</v>
      </c>
      <c r="C18" s="2" t="s">
        <v>26</v>
      </c>
      <c r="D18" s="2" t="s">
        <v>74</v>
      </c>
      <c r="E18" s="2">
        <v>72985</v>
      </c>
      <c r="F18" s="2">
        <f t="shared" si="0"/>
        <v>14597</v>
      </c>
      <c r="G18" s="2">
        <f t="shared" si="1"/>
        <v>7298.5</v>
      </c>
      <c r="H18" s="2">
        <f t="shared" si="2"/>
        <v>4379.0999999999995</v>
      </c>
      <c r="I18" s="2">
        <f t="shared" si="3"/>
        <v>8758.1999999999989</v>
      </c>
      <c r="J18" s="2">
        <f t="shared" si="4"/>
        <v>3649.25</v>
      </c>
      <c r="K18" s="5">
        <f t="shared" si="5"/>
        <v>111667.05</v>
      </c>
      <c r="L18" s="5">
        <f t="shared" si="6"/>
        <v>99259.6</v>
      </c>
      <c r="M18" s="3">
        <v>893475629797</v>
      </c>
      <c r="N18" s="2" t="s">
        <v>57</v>
      </c>
    </row>
    <row r="19" spans="1:14" x14ac:dyDescent="0.3">
      <c r="A19" s="2" t="s">
        <v>75</v>
      </c>
      <c r="B19" s="2" t="s">
        <v>76</v>
      </c>
      <c r="C19" s="2" t="s">
        <v>44</v>
      </c>
      <c r="D19" s="2" t="s">
        <v>70</v>
      </c>
      <c r="E19" s="2">
        <v>25365</v>
      </c>
      <c r="F19" s="2">
        <f t="shared" si="0"/>
        <v>5073</v>
      </c>
      <c r="G19" s="2">
        <f t="shared" si="1"/>
        <v>2536.5</v>
      </c>
      <c r="H19" s="2">
        <f t="shared" si="2"/>
        <v>1521.8999999999999</v>
      </c>
      <c r="I19" s="2">
        <f t="shared" si="3"/>
        <v>3043.7999999999997</v>
      </c>
      <c r="J19" s="2">
        <f t="shared" si="4"/>
        <v>1268.25</v>
      </c>
      <c r="K19" s="5">
        <f t="shared" si="5"/>
        <v>38808.450000000004</v>
      </c>
      <c r="L19" s="5">
        <f t="shared" si="6"/>
        <v>34496.400000000009</v>
      </c>
      <c r="M19" s="3">
        <v>893475628433</v>
      </c>
      <c r="N19" s="2" t="s">
        <v>36</v>
      </c>
    </row>
    <row r="20" spans="1:14" x14ac:dyDescent="0.3">
      <c r="A20" s="2" t="s">
        <v>77</v>
      </c>
      <c r="B20" s="2" t="s">
        <v>73</v>
      </c>
      <c r="C20" s="2" t="s">
        <v>52</v>
      </c>
      <c r="D20" s="2" t="s">
        <v>53</v>
      </c>
      <c r="E20" s="2">
        <v>34558</v>
      </c>
      <c r="F20" s="2">
        <f t="shared" si="0"/>
        <v>6911.6</v>
      </c>
      <c r="G20" s="2">
        <f t="shared" si="1"/>
        <v>3455.8</v>
      </c>
      <c r="H20" s="2">
        <f t="shared" si="2"/>
        <v>2073.48</v>
      </c>
      <c r="I20" s="2">
        <f t="shared" si="3"/>
        <v>4146.96</v>
      </c>
      <c r="J20" s="2">
        <f t="shared" si="4"/>
        <v>1727.9</v>
      </c>
      <c r="K20" s="5">
        <f t="shared" si="5"/>
        <v>52873.740000000005</v>
      </c>
      <c r="L20" s="5">
        <f t="shared" si="6"/>
        <v>46998.880000000005</v>
      </c>
      <c r="M20" s="3">
        <v>893475629317</v>
      </c>
      <c r="N20" s="2" t="s">
        <v>71</v>
      </c>
    </row>
    <row r="21" spans="1:14" x14ac:dyDescent="0.3">
      <c r="A21" s="2" t="s">
        <v>78</v>
      </c>
      <c r="B21" s="2" t="s">
        <v>79</v>
      </c>
      <c r="C21" s="2" t="s">
        <v>48</v>
      </c>
      <c r="D21" s="2" t="s">
        <v>56</v>
      </c>
      <c r="E21" s="2">
        <v>77488</v>
      </c>
      <c r="F21" s="2">
        <f t="shared" si="0"/>
        <v>15497.6</v>
      </c>
      <c r="G21" s="2">
        <f t="shared" si="1"/>
        <v>7748.8</v>
      </c>
      <c r="H21" s="2">
        <f t="shared" si="2"/>
        <v>4649.28</v>
      </c>
      <c r="I21" s="2">
        <f t="shared" si="3"/>
        <v>9298.56</v>
      </c>
      <c r="J21" s="2">
        <f t="shared" si="4"/>
        <v>3874.4</v>
      </c>
      <c r="K21" s="5">
        <f t="shared" si="5"/>
        <v>118556.64</v>
      </c>
      <c r="L21" s="5">
        <f t="shared" si="6"/>
        <v>105383.67999999999</v>
      </c>
      <c r="M21" s="3">
        <v>893475629689</v>
      </c>
      <c r="N21" s="2" t="s">
        <v>36</v>
      </c>
    </row>
    <row r="22" spans="1:14" x14ac:dyDescent="0.3">
      <c r="A22" s="2" t="s">
        <v>80</v>
      </c>
      <c r="B22" s="2" t="s">
        <v>81</v>
      </c>
      <c r="C22" s="2" t="s">
        <v>62</v>
      </c>
      <c r="D22" s="2" t="s">
        <v>63</v>
      </c>
      <c r="E22" s="2">
        <v>75889</v>
      </c>
      <c r="F22" s="2">
        <f t="shared" si="0"/>
        <v>15177.800000000001</v>
      </c>
      <c r="G22" s="2">
        <f t="shared" si="1"/>
        <v>7588.9000000000005</v>
      </c>
      <c r="H22" s="2">
        <f t="shared" si="2"/>
        <v>4553.34</v>
      </c>
      <c r="I22" s="2">
        <f t="shared" si="3"/>
        <v>9106.68</v>
      </c>
      <c r="J22" s="2">
        <f t="shared" si="4"/>
        <v>3794.4500000000003</v>
      </c>
      <c r="K22" s="5">
        <f t="shared" si="5"/>
        <v>116110.17</v>
      </c>
      <c r="L22" s="5">
        <f t="shared" si="6"/>
        <v>103209.04</v>
      </c>
      <c r="M22" s="3">
        <v>893475626947</v>
      </c>
      <c r="N22" s="2" t="s">
        <v>57</v>
      </c>
    </row>
    <row r="23" spans="1:14" x14ac:dyDescent="0.3">
      <c r="A23" s="2" t="s">
        <v>82</v>
      </c>
      <c r="B23" s="2" t="s">
        <v>83</v>
      </c>
      <c r="C23" s="2" t="s">
        <v>26</v>
      </c>
      <c r="D23" s="2" t="s">
        <v>27</v>
      </c>
      <c r="E23" s="2">
        <v>77059</v>
      </c>
      <c r="F23" s="2">
        <f t="shared" si="0"/>
        <v>15411.800000000001</v>
      </c>
      <c r="G23" s="2">
        <f t="shared" si="1"/>
        <v>7705.9000000000005</v>
      </c>
      <c r="H23" s="2">
        <f t="shared" si="2"/>
        <v>4623.54</v>
      </c>
      <c r="I23" s="2">
        <f t="shared" si="3"/>
        <v>9247.08</v>
      </c>
      <c r="J23" s="2">
        <f t="shared" si="4"/>
        <v>3852.9500000000003</v>
      </c>
      <c r="K23" s="5">
        <f t="shared" si="5"/>
        <v>117900.26999999999</v>
      </c>
      <c r="L23" s="5">
        <f t="shared" si="6"/>
        <v>104800.23999999999</v>
      </c>
      <c r="M23" s="3">
        <v>893475622290</v>
      </c>
      <c r="N23" s="2" t="s">
        <v>36</v>
      </c>
    </row>
    <row r="24" spans="1:14" x14ac:dyDescent="0.3">
      <c r="A24" s="2" t="s">
        <v>84</v>
      </c>
      <c r="B24" s="2" t="s">
        <v>85</v>
      </c>
      <c r="C24" s="2" t="s">
        <v>52</v>
      </c>
      <c r="D24" s="2" t="s">
        <v>53</v>
      </c>
      <c r="E24" s="2">
        <v>46148</v>
      </c>
      <c r="F24" s="2">
        <f t="shared" si="0"/>
        <v>9229.6</v>
      </c>
      <c r="G24" s="2">
        <f t="shared" si="1"/>
        <v>4614.8</v>
      </c>
      <c r="H24" s="2">
        <f t="shared" si="2"/>
        <v>2768.88</v>
      </c>
      <c r="I24" s="2">
        <f t="shared" si="3"/>
        <v>5537.76</v>
      </c>
      <c r="J24" s="2">
        <f t="shared" si="4"/>
        <v>2307.4</v>
      </c>
      <c r="K24" s="5">
        <f t="shared" si="5"/>
        <v>70606.439999999988</v>
      </c>
      <c r="L24" s="5">
        <f t="shared" si="6"/>
        <v>62761.279999999984</v>
      </c>
      <c r="M24" s="3">
        <v>893475623705</v>
      </c>
      <c r="N24" s="2" t="s">
        <v>31</v>
      </c>
    </row>
    <row r="25" spans="1:14" x14ac:dyDescent="0.3">
      <c r="A25" s="2" t="s">
        <v>86</v>
      </c>
      <c r="B25" s="2" t="s">
        <v>25</v>
      </c>
      <c r="C25" s="2" t="s">
        <v>21</v>
      </c>
      <c r="D25" s="2" t="s">
        <v>22</v>
      </c>
      <c r="E25" s="2">
        <v>64497</v>
      </c>
      <c r="F25" s="2">
        <f t="shared" si="0"/>
        <v>12899.400000000001</v>
      </c>
      <c r="G25" s="2">
        <f t="shared" si="1"/>
        <v>6449.7000000000007</v>
      </c>
      <c r="H25" s="2">
        <f t="shared" si="2"/>
        <v>3869.8199999999997</v>
      </c>
      <c r="I25" s="2">
        <f t="shared" si="3"/>
        <v>7739.6399999999994</v>
      </c>
      <c r="J25" s="2">
        <f t="shared" si="4"/>
        <v>3224.8500000000004</v>
      </c>
      <c r="K25" s="5">
        <f t="shared" si="5"/>
        <v>98680.409999999989</v>
      </c>
      <c r="L25" s="5">
        <f t="shared" si="6"/>
        <v>87715.919999999984</v>
      </c>
      <c r="M25" s="3">
        <v>893475624295</v>
      </c>
      <c r="N25" s="2" t="s">
        <v>18</v>
      </c>
    </row>
    <row r="26" spans="1:14" x14ac:dyDescent="0.3">
      <c r="A26" s="2" t="s">
        <v>87</v>
      </c>
      <c r="B26" s="2" t="s">
        <v>88</v>
      </c>
      <c r="C26" s="2" t="s">
        <v>48</v>
      </c>
      <c r="D26" s="2" t="s">
        <v>49</v>
      </c>
      <c r="E26" s="2">
        <v>44588</v>
      </c>
      <c r="F26" s="2">
        <f t="shared" si="0"/>
        <v>8917.6</v>
      </c>
      <c r="G26" s="2">
        <f t="shared" si="1"/>
        <v>4458.8</v>
      </c>
      <c r="H26" s="2">
        <f t="shared" si="2"/>
        <v>2675.2799999999997</v>
      </c>
      <c r="I26" s="2">
        <f t="shared" si="3"/>
        <v>5350.5599999999995</v>
      </c>
      <c r="J26" s="2">
        <f t="shared" si="4"/>
        <v>2229.4</v>
      </c>
      <c r="K26" s="5">
        <f t="shared" si="5"/>
        <v>68219.64</v>
      </c>
      <c r="L26" s="5">
        <f t="shared" si="6"/>
        <v>60639.68</v>
      </c>
      <c r="M26" s="3">
        <v>893475622982</v>
      </c>
      <c r="N26" s="2" t="s">
        <v>23</v>
      </c>
    </row>
    <row r="27" spans="1:14" x14ac:dyDescent="0.3">
      <c r="A27" s="2" t="s">
        <v>89</v>
      </c>
      <c r="B27" s="2" t="s">
        <v>90</v>
      </c>
      <c r="C27" s="2" t="s">
        <v>48</v>
      </c>
      <c r="D27" s="2" t="s">
        <v>56</v>
      </c>
      <c r="E27" s="2">
        <v>51301</v>
      </c>
      <c r="F27" s="2">
        <f t="shared" si="0"/>
        <v>10260.200000000001</v>
      </c>
      <c r="G27" s="2">
        <f t="shared" si="1"/>
        <v>5130.1000000000004</v>
      </c>
      <c r="H27" s="2">
        <f t="shared" si="2"/>
        <v>3078.06</v>
      </c>
      <c r="I27" s="2">
        <f t="shared" si="3"/>
        <v>6156.12</v>
      </c>
      <c r="J27" s="2">
        <f t="shared" si="4"/>
        <v>2565.0500000000002</v>
      </c>
      <c r="K27" s="5">
        <f t="shared" si="5"/>
        <v>78490.53</v>
      </c>
      <c r="L27" s="5">
        <f t="shared" si="6"/>
        <v>69769.36</v>
      </c>
      <c r="M27" s="3">
        <v>893475624770</v>
      </c>
      <c r="N27" s="2" t="s">
        <v>71</v>
      </c>
    </row>
    <row r="28" spans="1:14" x14ac:dyDescent="0.3">
      <c r="A28" s="2" t="s">
        <v>91</v>
      </c>
      <c r="B28" s="2" t="s">
        <v>92</v>
      </c>
      <c r="C28" s="2" t="s">
        <v>44</v>
      </c>
      <c r="D28" s="2" t="s">
        <v>45</v>
      </c>
      <c r="E28" s="2">
        <v>19417</v>
      </c>
      <c r="F28" s="2">
        <f t="shared" si="0"/>
        <v>3883.4</v>
      </c>
      <c r="G28" s="2">
        <f t="shared" si="1"/>
        <v>1941.7</v>
      </c>
      <c r="H28" s="2">
        <f t="shared" si="2"/>
        <v>1165.02</v>
      </c>
      <c r="I28" s="2">
        <f t="shared" si="3"/>
        <v>2330.04</v>
      </c>
      <c r="J28" s="2">
        <f t="shared" si="4"/>
        <v>970.85</v>
      </c>
      <c r="K28" s="5">
        <f t="shared" si="5"/>
        <v>29708.010000000002</v>
      </c>
      <c r="L28" s="5">
        <f t="shared" si="6"/>
        <v>26407.120000000003</v>
      </c>
      <c r="M28" s="3">
        <v>893475621514</v>
      </c>
      <c r="N28" s="2" t="s">
        <v>57</v>
      </c>
    </row>
    <row r="29" spans="1:14" x14ac:dyDescent="0.3">
      <c r="A29" s="2" t="s">
        <v>93</v>
      </c>
      <c r="B29" s="2" t="s">
        <v>94</v>
      </c>
      <c r="C29" s="2" t="s">
        <v>34</v>
      </c>
      <c r="D29" s="2" t="s">
        <v>35</v>
      </c>
      <c r="E29" s="2">
        <v>46812</v>
      </c>
      <c r="F29" s="2">
        <f t="shared" si="0"/>
        <v>9362.4</v>
      </c>
      <c r="G29" s="2">
        <f t="shared" si="1"/>
        <v>4681.2</v>
      </c>
      <c r="H29" s="2">
        <f t="shared" si="2"/>
        <v>2808.72</v>
      </c>
      <c r="I29" s="2">
        <f t="shared" si="3"/>
        <v>5617.44</v>
      </c>
      <c r="J29" s="2">
        <f t="shared" si="4"/>
        <v>2340.6</v>
      </c>
      <c r="K29" s="5">
        <f t="shared" si="5"/>
        <v>71622.36</v>
      </c>
      <c r="L29" s="5">
        <f t="shared" si="6"/>
        <v>63664.32</v>
      </c>
      <c r="M29" s="3">
        <v>893475624510</v>
      </c>
      <c r="N29" s="2" t="s">
        <v>71</v>
      </c>
    </row>
    <row r="30" spans="1:14" x14ac:dyDescent="0.3">
      <c r="A30" s="2" t="s">
        <v>95</v>
      </c>
      <c r="B30" s="2" t="s">
        <v>96</v>
      </c>
      <c r="C30" s="2" t="s">
        <v>62</v>
      </c>
      <c r="D30" s="2" t="s">
        <v>63</v>
      </c>
      <c r="E30" s="2">
        <v>67920</v>
      </c>
      <c r="F30" s="2">
        <f t="shared" si="0"/>
        <v>13584</v>
      </c>
      <c r="G30" s="2">
        <f t="shared" si="1"/>
        <v>6792</v>
      </c>
      <c r="H30" s="2">
        <f t="shared" si="2"/>
        <v>4075.2</v>
      </c>
      <c r="I30" s="2">
        <f t="shared" si="3"/>
        <v>8150.4</v>
      </c>
      <c r="J30" s="2">
        <f t="shared" si="4"/>
        <v>3396</v>
      </c>
      <c r="K30" s="5">
        <f t="shared" si="5"/>
        <v>103917.59999999999</v>
      </c>
      <c r="L30" s="5">
        <f t="shared" si="6"/>
        <v>92371.199999999997</v>
      </c>
      <c r="M30" s="3">
        <v>893475627669</v>
      </c>
      <c r="N30" s="2" t="s">
        <v>23</v>
      </c>
    </row>
    <row r="31" spans="1:14" x14ac:dyDescent="0.3">
      <c r="A31" s="2" t="s">
        <v>97</v>
      </c>
      <c r="B31" s="2" t="s">
        <v>98</v>
      </c>
      <c r="C31" s="2" t="s">
        <v>21</v>
      </c>
      <c r="D31" s="2" t="s">
        <v>99</v>
      </c>
      <c r="E31" s="2">
        <v>41941</v>
      </c>
      <c r="F31" s="2">
        <f t="shared" si="0"/>
        <v>8388.2000000000007</v>
      </c>
      <c r="G31" s="2">
        <f t="shared" si="1"/>
        <v>4194.1000000000004</v>
      </c>
      <c r="H31" s="2">
        <f t="shared" si="2"/>
        <v>2516.46</v>
      </c>
      <c r="I31" s="2">
        <f t="shared" si="3"/>
        <v>5032.92</v>
      </c>
      <c r="J31" s="2">
        <f t="shared" si="4"/>
        <v>2097.0500000000002</v>
      </c>
      <c r="K31" s="5">
        <f t="shared" si="5"/>
        <v>64169.729999999996</v>
      </c>
      <c r="L31" s="5">
        <f t="shared" si="6"/>
        <v>57039.759999999995</v>
      </c>
      <c r="M31" s="3">
        <v>893475628651</v>
      </c>
      <c r="N31" s="2" t="s">
        <v>57</v>
      </c>
    </row>
    <row r="32" spans="1:14" x14ac:dyDescent="0.3">
      <c r="A32" s="2" t="s">
        <v>100</v>
      </c>
      <c r="B32" s="2" t="s">
        <v>101</v>
      </c>
      <c r="C32" s="2" t="s">
        <v>26</v>
      </c>
      <c r="D32" s="2" t="s">
        <v>102</v>
      </c>
      <c r="E32" s="2">
        <v>37236</v>
      </c>
      <c r="F32" s="2">
        <f t="shared" si="0"/>
        <v>7447.2000000000007</v>
      </c>
      <c r="G32" s="2">
        <f t="shared" si="1"/>
        <v>3723.6000000000004</v>
      </c>
      <c r="H32" s="2">
        <f t="shared" si="2"/>
        <v>2234.16</v>
      </c>
      <c r="I32" s="2">
        <f t="shared" si="3"/>
        <v>4468.32</v>
      </c>
      <c r="J32" s="2">
        <f t="shared" si="4"/>
        <v>1861.8000000000002</v>
      </c>
      <c r="K32" s="5">
        <f t="shared" si="5"/>
        <v>56971.079999999994</v>
      </c>
      <c r="L32" s="5">
        <f t="shared" si="6"/>
        <v>50640.959999999992</v>
      </c>
      <c r="M32" s="3">
        <v>893475622790</v>
      </c>
      <c r="N32" s="2" t="s">
        <v>23</v>
      </c>
    </row>
    <row r="33" spans="1:14" x14ac:dyDescent="0.3">
      <c r="A33" s="2" t="s">
        <v>103</v>
      </c>
      <c r="B33" s="2" t="s">
        <v>104</v>
      </c>
      <c r="C33" s="2" t="s">
        <v>62</v>
      </c>
      <c r="D33" s="2" t="s">
        <v>63</v>
      </c>
      <c r="E33" s="2">
        <v>27025</v>
      </c>
      <c r="F33" s="2">
        <f t="shared" si="0"/>
        <v>5405</v>
      </c>
      <c r="G33" s="2">
        <f t="shared" si="1"/>
        <v>2702.5</v>
      </c>
      <c r="H33" s="2">
        <f t="shared" si="2"/>
        <v>1621.5</v>
      </c>
      <c r="I33" s="2">
        <f t="shared" si="3"/>
        <v>3243</v>
      </c>
      <c r="J33" s="2">
        <f t="shared" si="4"/>
        <v>1351.25</v>
      </c>
      <c r="K33" s="5">
        <f t="shared" si="5"/>
        <v>41348.25</v>
      </c>
      <c r="L33" s="5">
        <f t="shared" si="6"/>
        <v>36754</v>
      </c>
      <c r="M33" s="3">
        <v>893475625563</v>
      </c>
      <c r="N33" s="2" t="s">
        <v>28</v>
      </c>
    </row>
    <row r="34" spans="1:14" x14ac:dyDescent="0.3">
      <c r="A34" s="2" t="s">
        <v>105</v>
      </c>
      <c r="B34" s="2" t="s">
        <v>90</v>
      </c>
      <c r="C34" s="2" t="s">
        <v>62</v>
      </c>
      <c r="D34" s="2" t="s">
        <v>63</v>
      </c>
      <c r="E34" s="2">
        <v>57738</v>
      </c>
      <c r="F34" s="2">
        <f t="shared" si="0"/>
        <v>11547.6</v>
      </c>
      <c r="G34" s="2">
        <f t="shared" si="1"/>
        <v>5773.8</v>
      </c>
      <c r="H34" s="2">
        <f t="shared" si="2"/>
        <v>3464.2799999999997</v>
      </c>
      <c r="I34" s="2">
        <f t="shared" si="3"/>
        <v>6928.5599999999995</v>
      </c>
      <c r="J34" s="2">
        <f t="shared" si="4"/>
        <v>2886.9</v>
      </c>
      <c r="K34" s="5">
        <f t="shared" si="5"/>
        <v>88339.14</v>
      </c>
      <c r="L34" s="5">
        <f t="shared" si="6"/>
        <v>78523.679999999993</v>
      </c>
      <c r="M34" s="3">
        <v>893475629856</v>
      </c>
      <c r="N34" s="2" t="s">
        <v>57</v>
      </c>
    </row>
    <row r="35" spans="1:14" x14ac:dyDescent="0.3">
      <c r="A35" s="2" t="s">
        <v>106</v>
      </c>
      <c r="B35" s="2" t="s">
        <v>107</v>
      </c>
      <c r="C35" s="2" t="s">
        <v>34</v>
      </c>
      <c r="D35" s="2" t="s">
        <v>108</v>
      </c>
      <c r="E35" s="2">
        <v>46826</v>
      </c>
      <c r="F35" s="2">
        <f t="shared" si="0"/>
        <v>9365.2000000000007</v>
      </c>
      <c r="G35" s="2">
        <f t="shared" si="1"/>
        <v>4682.6000000000004</v>
      </c>
      <c r="H35" s="2">
        <f t="shared" si="2"/>
        <v>2809.56</v>
      </c>
      <c r="I35" s="2">
        <f t="shared" si="3"/>
        <v>5619.12</v>
      </c>
      <c r="J35" s="2">
        <f t="shared" si="4"/>
        <v>2341.3000000000002</v>
      </c>
      <c r="K35" s="5">
        <f t="shared" si="5"/>
        <v>71643.78</v>
      </c>
      <c r="L35" s="5">
        <f t="shared" si="6"/>
        <v>63683.360000000001</v>
      </c>
      <c r="M35" s="3">
        <v>893475628886</v>
      </c>
      <c r="N35" s="2" t="s">
        <v>23</v>
      </c>
    </row>
    <row r="36" spans="1:14" x14ac:dyDescent="0.3">
      <c r="A36" s="2" t="s">
        <v>109</v>
      </c>
      <c r="B36" s="2" t="s">
        <v>110</v>
      </c>
      <c r="C36" s="2" t="s">
        <v>52</v>
      </c>
      <c r="D36" s="2" t="s">
        <v>111</v>
      </c>
      <c r="E36" s="2">
        <v>79573</v>
      </c>
      <c r="F36" s="2">
        <f t="shared" si="0"/>
        <v>15914.6</v>
      </c>
      <c r="G36" s="2">
        <f t="shared" si="1"/>
        <v>7957.3</v>
      </c>
      <c r="H36" s="2">
        <f t="shared" si="2"/>
        <v>4774.38</v>
      </c>
      <c r="I36" s="2">
        <f t="shared" si="3"/>
        <v>9548.76</v>
      </c>
      <c r="J36" s="2">
        <f t="shared" si="4"/>
        <v>3978.65</v>
      </c>
      <c r="K36" s="5">
        <f t="shared" si="5"/>
        <v>121746.69</v>
      </c>
      <c r="L36" s="5">
        <f t="shared" si="6"/>
        <v>108219.28</v>
      </c>
      <c r="M36" s="3">
        <v>893475627396</v>
      </c>
      <c r="N36" s="2" t="s">
        <v>31</v>
      </c>
    </row>
    <row r="37" spans="1:14" x14ac:dyDescent="0.3">
      <c r="A37" s="2" t="s">
        <v>112</v>
      </c>
      <c r="B37" s="2" t="s">
        <v>113</v>
      </c>
      <c r="C37" s="2" t="s">
        <v>21</v>
      </c>
      <c r="D37" s="2" t="s">
        <v>99</v>
      </c>
      <c r="E37" s="2">
        <v>27445</v>
      </c>
      <c r="F37" s="2">
        <f t="shared" si="0"/>
        <v>5489</v>
      </c>
      <c r="G37" s="2">
        <f t="shared" si="1"/>
        <v>2744.5</v>
      </c>
      <c r="H37" s="2">
        <f t="shared" si="2"/>
        <v>1646.7</v>
      </c>
      <c r="I37" s="2">
        <f t="shared" si="3"/>
        <v>3293.4</v>
      </c>
      <c r="J37" s="2">
        <f t="shared" si="4"/>
        <v>1372.25</v>
      </c>
      <c r="K37" s="5">
        <f t="shared" si="5"/>
        <v>41990.85</v>
      </c>
      <c r="L37" s="5">
        <f t="shared" si="6"/>
        <v>37325.199999999997</v>
      </c>
      <c r="M37" s="3">
        <v>893475625861</v>
      </c>
      <c r="N37" s="2" t="s">
        <v>23</v>
      </c>
    </row>
    <row r="38" spans="1:14" x14ac:dyDescent="0.3">
      <c r="A38" s="2" t="s">
        <v>114</v>
      </c>
      <c r="B38" s="2" t="s">
        <v>115</v>
      </c>
      <c r="C38" s="2" t="s">
        <v>26</v>
      </c>
      <c r="D38" s="2" t="s">
        <v>116</v>
      </c>
      <c r="E38" s="2">
        <v>18286</v>
      </c>
      <c r="F38" s="2">
        <f t="shared" si="0"/>
        <v>3657.2000000000003</v>
      </c>
      <c r="G38" s="2">
        <f t="shared" si="1"/>
        <v>1828.6000000000001</v>
      </c>
      <c r="H38" s="2">
        <f t="shared" si="2"/>
        <v>1097.1599999999999</v>
      </c>
      <c r="I38" s="2">
        <f t="shared" si="3"/>
        <v>2194.3199999999997</v>
      </c>
      <c r="J38" s="2">
        <f t="shared" si="4"/>
        <v>914.30000000000007</v>
      </c>
      <c r="K38" s="5">
        <f t="shared" si="5"/>
        <v>27977.579999999998</v>
      </c>
      <c r="L38" s="5">
        <f t="shared" si="6"/>
        <v>24868.959999999999</v>
      </c>
      <c r="M38" s="3">
        <v>893475628811</v>
      </c>
      <c r="N38" s="2" t="s">
        <v>71</v>
      </c>
    </row>
    <row r="39" spans="1:14" x14ac:dyDescent="0.3">
      <c r="A39" s="2" t="s">
        <v>117</v>
      </c>
      <c r="B39" s="2" t="s">
        <v>118</v>
      </c>
      <c r="C39" s="2" t="s">
        <v>26</v>
      </c>
      <c r="D39" s="2" t="s">
        <v>74</v>
      </c>
      <c r="E39" s="2">
        <v>19490</v>
      </c>
      <c r="F39" s="2">
        <f t="shared" si="0"/>
        <v>3898</v>
      </c>
      <c r="G39" s="2">
        <f t="shared" si="1"/>
        <v>1949</v>
      </c>
      <c r="H39" s="2">
        <f t="shared" si="2"/>
        <v>1169.3999999999999</v>
      </c>
      <c r="I39" s="2">
        <f t="shared" si="3"/>
        <v>2338.7999999999997</v>
      </c>
      <c r="J39" s="2">
        <f t="shared" si="4"/>
        <v>974.5</v>
      </c>
      <c r="K39" s="5">
        <f t="shared" si="5"/>
        <v>29819.7</v>
      </c>
      <c r="L39" s="5">
        <f t="shared" si="6"/>
        <v>26506.400000000001</v>
      </c>
      <c r="M39" s="3">
        <v>893475622113</v>
      </c>
      <c r="N39" s="2" t="s">
        <v>18</v>
      </c>
    </row>
    <row r="40" spans="1:14" x14ac:dyDescent="0.3">
      <c r="A40" s="2" t="s">
        <v>119</v>
      </c>
      <c r="B40" s="2" t="s">
        <v>120</v>
      </c>
      <c r="C40" s="2" t="s">
        <v>44</v>
      </c>
      <c r="D40" s="2" t="s">
        <v>45</v>
      </c>
      <c r="E40" s="2">
        <v>53962</v>
      </c>
      <c r="F40" s="2">
        <f t="shared" si="0"/>
        <v>10792.400000000001</v>
      </c>
      <c r="G40" s="2">
        <f t="shared" si="1"/>
        <v>5396.2000000000007</v>
      </c>
      <c r="H40" s="2">
        <f t="shared" si="2"/>
        <v>3237.72</v>
      </c>
      <c r="I40" s="2">
        <f t="shared" si="3"/>
        <v>6475.44</v>
      </c>
      <c r="J40" s="2">
        <f t="shared" si="4"/>
        <v>2698.1000000000004</v>
      </c>
      <c r="K40" s="5">
        <f t="shared" si="5"/>
        <v>82561.860000000015</v>
      </c>
      <c r="L40" s="5">
        <f t="shared" si="6"/>
        <v>73388.320000000007</v>
      </c>
      <c r="M40" s="3">
        <v>893475621651</v>
      </c>
      <c r="N40" s="2" t="s">
        <v>71</v>
      </c>
    </row>
    <row r="41" spans="1:14" x14ac:dyDescent="0.3">
      <c r="A41" s="2" t="s">
        <v>121</v>
      </c>
      <c r="B41" s="2" t="s">
        <v>122</v>
      </c>
      <c r="C41" s="2" t="s">
        <v>48</v>
      </c>
      <c r="D41" s="2" t="s">
        <v>49</v>
      </c>
      <c r="E41" s="2">
        <v>58891</v>
      </c>
      <c r="F41" s="2">
        <f t="shared" si="0"/>
        <v>11778.2</v>
      </c>
      <c r="G41" s="2">
        <f t="shared" si="1"/>
        <v>5889.1</v>
      </c>
      <c r="H41" s="2">
        <f t="shared" si="2"/>
        <v>3533.46</v>
      </c>
      <c r="I41" s="2">
        <f t="shared" si="3"/>
        <v>7066.92</v>
      </c>
      <c r="J41" s="2">
        <f t="shared" si="4"/>
        <v>2944.55</v>
      </c>
      <c r="K41" s="5">
        <f t="shared" si="5"/>
        <v>90103.23000000001</v>
      </c>
      <c r="L41" s="5">
        <f t="shared" si="6"/>
        <v>80091.760000000009</v>
      </c>
      <c r="M41" s="3">
        <v>893475626147</v>
      </c>
      <c r="N41" s="2" t="s">
        <v>23</v>
      </c>
    </row>
    <row r="42" spans="1:14" x14ac:dyDescent="0.3">
      <c r="A42" s="2" t="s">
        <v>123</v>
      </c>
      <c r="B42" s="2" t="s">
        <v>124</v>
      </c>
      <c r="C42" s="2" t="s">
        <v>52</v>
      </c>
      <c r="D42" s="2" t="s">
        <v>111</v>
      </c>
      <c r="E42" s="2">
        <v>35720</v>
      </c>
      <c r="F42" s="2">
        <f t="shared" si="0"/>
        <v>7144</v>
      </c>
      <c r="G42" s="2">
        <f t="shared" si="1"/>
        <v>3572</v>
      </c>
      <c r="H42" s="2">
        <f t="shared" si="2"/>
        <v>2143.1999999999998</v>
      </c>
      <c r="I42" s="2">
        <f t="shared" si="3"/>
        <v>4286.3999999999996</v>
      </c>
      <c r="J42" s="2">
        <f t="shared" si="4"/>
        <v>1786</v>
      </c>
      <c r="K42" s="5">
        <f t="shared" si="5"/>
        <v>54651.6</v>
      </c>
      <c r="L42" s="5">
        <f t="shared" si="6"/>
        <v>48579.199999999997</v>
      </c>
      <c r="M42" s="3">
        <v>893475622188</v>
      </c>
      <c r="N42" s="2" t="s">
        <v>36</v>
      </c>
    </row>
    <row r="43" spans="1:14" x14ac:dyDescent="0.3">
      <c r="A43" s="2" t="s">
        <v>125</v>
      </c>
      <c r="B43" s="2" t="s">
        <v>126</v>
      </c>
      <c r="C43" s="2" t="s">
        <v>44</v>
      </c>
      <c r="D43" s="2" t="s">
        <v>45</v>
      </c>
      <c r="E43" s="2">
        <v>28969</v>
      </c>
      <c r="F43" s="2">
        <f t="shared" si="0"/>
        <v>5793.8</v>
      </c>
      <c r="G43" s="2">
        <f t="shared" si="1"/>
        <v>2896.9</v>
      </c>
      <c r="H43" s="2">
        <f t="shared" si="2"/>
        <v>1738.1399999999999</v>
      </c>
      <c r="I43" s="2">
        <f t="shared" si="3"/>
        <v>3476.2799999999997</v>
      </c>
      <c r="J43" s="2">
        <f t="shared" si="4"/>
        <v>1448.45</v>
      </c>
      <c r="K43" s="5">
        <f t="shared" si="5"/>
        <v>44322.57</v>
      </c>
      <c r="L43" s="5">
        <f t="shared" si="6"/>
        <v>39397.839999999997</v>
      </c>
      <c r="M43" s="3">
        <v>893475629288</v>
      </c>
      <c r="N43" s="2" t="s">
        <v>31</v>
      </c>
    </row>
    <row r="44" spans="1:14" x14ac:dyDescent="0.3">
      <c r="A44" s="2" t="s">
        <v>127</v>
      </c>
      <c r="B44" s="2" t="s">
        <v>128</v>
      </c>
      <c r="C44" s="2" t="s">
        <v>44</v>
      </c>
      <c r="D44" s="2" t="s">
        <v>45</v>
      </c>
      <c r="E44" s="2">
        <v>33676</v>
      </c>
      <c r="F44" s="2">
        <f t="shared" si="0"/>
        <v>6735.2000000000007</v>
      </c>
      <c r="G44" s="2">
        <f t="shared" si="1"/>
        <v>3367.6000000000004</v>
      </c>
      <c r="H44" s="2">
        <f t="shared" si="2"/>
        <v>2020.56</v>
      </c>
      <c r="I44" s="2">
        <f t="shared" si="3"/>
        <v>4041.12</v>
      </c>
      <c r="J44" s="2">
        <f t="shared" si="4"/>
        <v>1683.8000000000002</v>
      </c>
      <c r="K44" s="5">
        <f t="shared" si="5"/>
        <v>51524.28</v>
      </c>
      <c r="L44" s="5">
        <f t="shared" si="6"/>
        <v>45799.360000000001</v>
      </c>
      <c r="M44" s="3">
        <v>893475623584</v>
      </c>
      <c r="N44" s="2" t="s">
        <v>28</v>
      </c>
    </row>
    <row r="45" spans="1:14" x14ac:dyDescent="0.3">
      <c r="A45" s="2" t="s">
        <v>129</v>
      </c>
      <c r="B45" s="2" t="s">
        <v>130</v>
      </c>
      <c r="C45" s="2" t="s">
        <v>26</v>
      </c>
      <c r="D45" s="2" t="s">
        <v>116</v>
      </c>
      <c r="E45" s="2">
        <v>21788</v>
      </c>
      <c r="F45" s="2">
        <f t="shared" si="0"/>
        <v>4357.6000000000004</v>
      </c>
      <c r="G45" s="2">
        <f t="shared" si="1"/>
        <v>2178.8000000000002</v>
      </c>
      <c r="H45" s="2">
        <f t="shared" si="2"/>
        <v>1307.28</v>
      </c>
      <c r="I45" s="2">
        <f t="shared" si="3"/>
        <v>2614.56</v>
      </c>
      <c r="J45" s="2">
        <f t="shared" si="4"/>
        <v>1089.4000000000001</v>
      </c>
      <c r="K45" s="5">
        <f t="shared" si="5"/>
        <v>33335.64</v>
      </c>
      <c r="L45" s="5">
        <f t="shared" si="6"/>
        <v>29631.68</v>
      </c>
      <c r="M45" s="3">
        <v>893475623200</v>
      </c>
      <c r="N45" s="2" t="s">
        <v>31</v>
      </c>
    </row>
    <row r="46" spans="1:14" x14ac:dyDescent="0.3">
      <c r="A46" s="2" t="s">
        <v>131</v>
      </c>
      <c r="B46" s="2" t="s">
        <v>98</v>
      </c>
      <c r="C46" s="2" t="s">
        <v>52</v>
      </c>
      <c r="D46" s="2" t="s">
        <v>111</v>
      </c>
      <c r="E46" s="2">
        <v>54638</v>
      </c>
      <c r="F46" s="2">
        <f t="shared" si="0"/>
        <v>10927.6</v>
      </c>
      <c r="G46" s="2">
        <f t="shared" si="1"/>
        <v>5463.8</v>
      </c>
      <c r="H46" s="2">
        <f t="shared" si="2"/>
        <v>3278.2799999999997</v>
      </c>
      <c r="I46" s="2">
        <f t="shared" si="3"/>
        <v>6556.5599999999995</v>
      </c>
      <c r="J46" s="2">
        <f t="shared" si="4"/>
        <v>2731.9</v>
      </c>
      <c r="K46" s="5">
        <f t="shared" si="5"/>
        <v>83596.14</v>
      </c>
      <c r="L46" s="5">
        <f t="shared" si="6"/>
        <v>74307.679999999993</v>
      </c>
      <c r="M46" s="3">
        <v>893475624450</v>
      </c>
      <c r="N46" s="2" t="s">
        <v>18</v>
      </c>
    </row>
    <row r="47" spans="1:14" x14ac:dyDescent="0.3">
      <c r="A47" s="2" t="s">
        <v>132</v>
      </c>
      <c r="B47" s="2" t="s">
        <v>133</v>
      </c>
      <c r="C47" s="2" t="s">
        <v>16</v>
      </c>
      <c r="D47" s="2" t="s">
        <v>41</v>
      </c>
      <c r="E47" s="2">
        <v>74332</v>
      </c>
      <c r="F47" s="2">
        <f t="shared" si="0"/>
        <v>14866.400000000001</v>
      </c>
      <c r="G47" s="2">
        <f t="shared" si="1"/>
        <v>7433.2000000000007</v>
      </c>
      <c r="H47" s="2">
        <f t="shared" si="2"/>
        <v>4459.92</v>
      </c>
      <c r="I47" s="2">
        <f t="shared" si="3"/>
        <v>8919.84</v>
      </c>
      <c r="J47" s="2">
        <f t="shared" si="4"/>
        <v>3716.6000000000004</v>
      </c>
      <c r="K47" s="5">
        <f t="shared" si="5"/>
        <v>113727.95999999999</v>
      </c>
      <c r="L47" s="5">
        <f t="shared" si="6"/>
        <v>101091.51999999999</v>
      </c>
      <c r="M47" s="3">
        <v>893475621832</v>
      </c>
      <c r="N47" s="2" t="s">
        <v>36</v>
      </c>
    </row>
    <row r="48" spans="1:14" x14ac:dyDescent="0.3">
      <c r="A48" s="2" t="s">
        <v>134</v>
      </c>
      <c r="B48" s="2" t="s">
        <v>135</v>
      </c>
      <c r="C48" s="2" t="s">
        <v>26</v>
      </c>
      <c r="D48" s="2" t="s">
        <v>74</v>
      </c>
      <c r="E48" s="2">
        <v>65536</v>
      </c>
      <c r="F48" s="2">
        <f t="shared" si="0"/>
        <v>13107.2</v>
      </c>
      <c r="G48" s="2">
        <f t="shared" si="1"/>
        <v>6553.6</v>
      </c>
      <c r="H48" s="2">
        <f t="shared" si="2"/>
        <v>3932.16</v>
      </c>
      <c r="I48" s="2">
        <f t="shared" si="3"/>
        <v>7864.32</v>
      </c>
      <c r="J48" s="2">
        <f t="shared" si="4"/>
        <v>3276.8</v>
      </c>
      <c r="K48" s="5">
        <f t="shared" si="5"/>
        <v>100270.08</v>
      </c>
      <c r="L48" s="5">
        <f t="shared" si="6"/>
        <v>89128.960000000006</v>
      </c>
      <c r="M48" s="3">
        <v>893475623143</v>
      </c>
      <c r="N48" s="2" t="s">
        <v>18</v>
      </c>
    </row>
    <row r="49" spans="1:14" x14ac:dyDescent="0.3">
      <c r="A49" s="2" t="s">
        <v>136</v>
      </c>
      <c r="B49" s="2" t="s">
        <v>33</v>
      </c>
      <c r="C49" s="2" t="s">
        <v>62</v>
      </c>
      <c r="D49" s="2" t="s">
        <v>137</v>
      </c>
      <c r="E49" s="2">
        <v>15633</v>
      </c>
      <c r="F49" s="2">
        <f t="shared" si="0"/>
        <v>3126.6000000000004</v>
      </c>
      <c r="G49" s="2">
        <f t="shared" si="1"/>
        <v>1563.3000000000002</v>
      </c>
      <c r="H49" s="2">
        <f t="shared" si="2"/>
        <v>937.98</v>
      </c>
      <c r="I49" s="2">
        <f t="shared" si="3"/>
        <v>1875.96</v>
      </c>
      <c r="J49" s="2">
        <f t="shared" si="4"/>
        <v>781.65000000000009</v>
      </c>
      <c r="K49" s="5">
        <f t="shared" si="5"/>
        <v>23918.489999999998</v>
      </c>
      <c r="L49" s="5">
        <f t="shared" si="6"/>
        <v>21260.879999999997</v>
      </c>
      <c r="M49" s="3">
        <v>893475622832</v>
      </c>
      <c r="N49" s="2" t="s">
        <v>36</v>
      </c>
    </row>
    <row r="50" spans="1:14" x14ac:dyDescent="0.3">
      <c r="A50" s="2" t="s">
        <v>138</v>
      </c>
      <c r="B50" s="2" t="s">
        <v>67</v>
      </c>
      <c r="C50" s="2" t="s">
        <v>26</v>
      </c>
      <c r="D50" s="2" t="s">
        <v>116</v>
      </c>
      <c r="E50" s="2">
        <v>51210</v>
      </c>
      <c r="F50" s="2">
        <f t="shared" si="0"/>
        <v>10242</v>
      </c>
      <c r="G50" s="2">
        <f t="shared" si="1"/>
        <v>5121</v>
      </c>
      <c r="H50" s="2">
        <f t="shared" si="2"/>
        <v>3072.6</v>
      </c>
      <c r="I50" s="2">
        <f t="shared" si="3"/>
        <v>6145.2</v>
      </c>
      <c r="J50" s="2">
        <f t="shared" si="4"/>
        <v>2560.5</v>
      </c>
      <c r="K50" s="5">
        <f t="shared" si="5"/>
        <v>78351.3</v>
      </c>
      <c r="L50" s="5">
        <f t="shared" si="6"/>
        <v>69645.600000000006</v>
      </c>
      <c r="M50" s="3">
        <v>893475623426</v>
      </c>
      <c r="N50" s="2" t="s">
        <v>28</v>
      </c>
    </row>
    <row r="51" spans="1:14" x14ac:dyDescent="0.3">
      <c r="A51" s="2" t="s">
        <v>139</v>
      </c>
      <c r="B51" s="2" t="s">
        <v>140</v>
      </c>
      <c r="C51" s="2" t="s">
        <v>16</v>
      </c>
      <c r="D51" s="2" t="s">
        <v>41</v>
      </c>
      <c r="E51" s="2">
        <v>73911</v>
      </c>
      <c r="F51" s="2">
        <f t="shared" si="0"/>
        <v>14782.2</v>
      </c>
      <c r="G51" s="2">
        <f t="shared" si="1"/>
        <v>7391.1</v>
      </c>
      <c r="H51" s="2">
        <f t="shared" si="2"/>
        <v>4434.66</v>
      </c>
      <c r="I51" s="2">
        <f t="shared" si="3"/>
        <v>8869.32</v>
      </c>
      <c r="J51" s="2">
        <f t="shared" si="4"/>
        <v>3695.55</v>
      </c>
      <c r="K51" s="5">
        <f t="shared" si="5"/>
        <v>113083.83</v>
      </c>
      <c r="L51" s="5">
        <f t="shared" si="6"/>
        <v>100518.96</v>
      </c>
      <c r="M51" s="3">
        <v>893475626862</v>
      </c>
      <c r="N51" s="2" t="s">
        <v>23</v>
      </c>
    </row>
    <row r="52" spans="1:14" x14ac:dyDescent="0.3">
      <c r="A52" s="2" t="s">
        <v>141</v>
      </c>
      <c r="B52" s="2" t="s">
        <v>90</v>
      </c>
      <c r="C52" s="2" t="s">
        <v>48</v>
      </c>
      <c r="D52" s="2" t="s">
        <v>49</v>
      </c>
      <c r="E52" s="2">
        <v>64117</v>
      </c>
      <c r="F52" s="2">
        <f t="shared" si="0"/>
        <v>12823.400000000001</v>
      </c>
      <c r="G52" s="2">
        <f t="shared" si="1"/>
        <v>6411.7000000000007</v>
      </c>
      <c r="H52" s="2">
        <f t="shared" si="2"/>
        <v>3847.02</v>
      </c>
      <c r="I52" s="2">
        <f t="shared" si="3"/>
        <v>7694.04</v>
      </c>
      <c r="J52" s="2">
        <f t="shared" si="4"/>
        <v>3205.8500000000004</v>
      </c>
      <c r="K52" s="5">
        <f t="shared" si="5"/>
        <v>98099.01</v>
      </c>
      <c r="L52" s="5">
        <f t="shared" si="6"/>
        <v>87199.12</v>
      </c>
      <c r="M52" s="3">
        <v>893475623532</v>
      </c>
      <c r="N52" s="2" t="s">
        <v>23</v>
      </c>
    </row>
    <row r="53" spans="1:14" x14ac:dyDescent="0.3">
      <c r="A53" s="2" t="s">
        <v>142</v>
      </c>
      <c r="B53" s="2" t="s">
        <v>143</v>
      </c>
      <c r="C53" s="2" t="s">
        <v>21</v>
      </c>
      <c r="D53" s="2" t="s">
        <v>22</v>
      </c>
      <c r="E53" s="2">
        <v>63271</v>
      </c>
      <c r="F53" s="2">
        <f t="shared" si="0"/>
        <v>12654.2</v>
      </c>
      <c r="G53" s="2">
        <f t="shared" si="1"/>
        <v>6327.1</v>
      </c>
      <c r="H53" s="2">
        <f t="shared" si="2"/>
        <v>3796.2599999999998</v>
      </c>
      <c r="I53" s="2">
        <f t="shared" si="3"/>
        <v>7592.5199999999995</v>
      </c>
      <c r="J53" s="2">
        <f t="shared" si="4"/>
        <v>3163.55</v>
      </c>
      <c r="K53" s="5">
        <f t="shared" si="5"/>
        <v>96804.63</v>
      </c>
      <c r="L53" s="5">
        <f t="shared" si="6"/>
        <v>86048.56</v>
      </c>
      <c r="M53" s="3">
        <v>893475626442</v>
      </c>
      <c r="N53" s="2" t="s">
        <v>57</v>
      </c>
    </row>
    <row r="54" spans="1:14" x14ac:dyDescent="0.3">
      <c r="A54" s="2" t="s">
        <v>144</v>
      </c>
      <c r="B54" s="2" t="s">
        <v>145</v>
      </c>
      <c r="C54" s="2" t="s">
        <v>16</v>
      </c>
      <c r="D54" s="2" t="s">
        <v>17</v>
      </c>
      <c r="E54" s="2">
        <v>22084</v>
      </c>
      <c r="F54" s="2">
        <f t="shared" si="0"/>
        <v>4416.8</v>
      </c>
      <c r="G54" s="2">
        <f t="shared" si="1"/>
        <v>2208.4</v>
      </c>
      <c r="H54" s="2">
        <f t="shared" si="2"/>
        <v>1325.04</v>
      </c>
      <c r="I54" s="2">
        <f t="shared" si="3"/>
        <v>2650.08</v>
      </c>
      <c r="J54" s="2">
        <f t="shared" si="4"/>
        <v>1104.2</v>
      </c>
      <c r="K54" s="5">
        <f t="shared" si="5"/>
        <v>33788.519999999997</v>
      </c>
      <c r="L54" s="5">
        <f t="shared" si="6"/>
        <v>30034.239999999998</v>
      </c>
      <c r="M54" s="3">
        <v>893475627267</v>
      </c>
      <c r="N54" s="2" t="s">
        <v>57</v>
      </c>
    </row>
    <row r="55" spans="1:14" x14ac:dyDescent="0.3">
      <c r="A55" s="2" t="s">
        <v>146</v>
      </c>
      <c r="B55" s="2" t="s">
        <v>147</v>
      </c>
      <c r="C55" s="2" t="s">
        <v>34</v>
      </c>
      <c r="D55" s="2" t="s">
        <v>108</v>
      </c>
      <c r="E55" s="2">
        <v>37915</v>
      </c>
      <c r="F55" s="2">
        <f t="shared" si="0"/>
        <v>7583</v>
      </c>
      <c r="G55" s="2">
        <f t="shared" si="1"/>
        <v>3791.5</v>
      </c>
      <c r="H55" s="2">
        <f t="shared" si="2"/>
        <v>2274.9</v>
      </c>
      <c r="I55" s="2">
        <f t="shared" si="3"/>
        <v>4549.8</v>
      </c>
      <c r="J55" s="2">
        <f t="shared" si="4"/>
        <v>1895.75</v>
      </c>
      <c r="K55" s="5">
        <f t="shared" si="5"/>
        <v>58009.950000000004</v>
      </c>
      <c r="L55" s="5">
        <f t="shared" si="6"/>
        <v>51564.4</v>
      </c>
      <c r="M55" s="3">
        <v>893475626000</v>
      </c>
      <c r="N55" s="2" t="s">
        <v>57</v>
      </c>
    </row>
    <row r="56" spans="1:14" x14ac:dyDescent="0.3">
      <c r="A56" s="2" t="s">
        <v>148</v>
      </c>
      <c r="B56" s="2" t="s">
        <v>149</v>
      </c>
      <c r="C56" s="2" t="s">
        <v>26</v>
      </c>
      <c r="D56" s="2" t="s">
        <v>27</v>
      </c>
      <c r="E56" s="2">
        <v>36512</v>
      </c>
      <c r="F56" s="2">
        <f t="shared" si="0"/>
        <v>7302.4000000000005</v>
      </c>
      <c r="G56" s="2">
        <f t="shared" si="1"/>
        <v>3651.2000000000003</v>
      </c>
      <c r="H56" s="2">
        <f t="shared" si="2"/>
        <v>2190.7199999999998</v>
      </c>
      <c r="I56" s="2">
        <f t="shared" si="3"/>
        <v>4381.4399999999996</v>
      </c>
      <c r="J56" s="2">
        <f t="shared" si="4"/>
        <v>1825.6000000000001</v>
      </c>
      <c r="K56" s="5">
        <f t="shared" si="5"/>
        <v>55863.360000000001</v>
      </c>
      <c r="L56" s="5">
        <f t="shared" si="6"/>
        <v>49656.32</v>
      </c>
      <c r="M56" s="3">
        <v>893475625564</v>
      </c>
      <c r="N56" s="2" t="s">
        <v>57</v>
      </c>
    </row>
    <row r="57" spans="1:14" x14ac:dyDescent="0.3">
      <c r="A57" s="2" t="s">
        <v>150</v>
      </c>
      <c r="B57" s="2" t="s">
        <v>151</v>
      </c>
      <c r="C57" s="2" t="s">
        <v>48</v>
      </c>
      <c r="D57" s="2" t="s">
        <v>49</v>
      </c>
      <c r="E57" s="2">
        <v>79300</v>
      </c>
      <c r="F57" s="2">
        <f t="shared" si="0"/>
        <v>15860</v>
      </c>
      <c r="G57" s="2">
        <f t="shared" si="1"/>
        <v>7930</v>
      </c>
      <c r="H57" s="2">
        <f t="shared" si="2"/>
        <v>4758</v>
      </c>
      <c r="I57" s="2">
        <f t="shared" si="3"/>
        <v>9516</v>
      </c>
      <c r="J57" s="2">
        <f t="shared" si="4"/>
        <v>3965</v>
      </c>
      <c r="K57" s="5">
        <f t="shared" si="5"/>
        <v>121329</v>
      </c>
      <c r="L57" s="5">
        <f t="shared" si="6"/>
        <v>107848</v>
      </c>
      <c r="M57" s="3">
        <v>893475629785</v>
      </c>
      <c r="N57" s="2" t="s">
        <v>31</v>
      </c>
    </row>
    <row r="58" spans="1:14" x14ac:dyDescent="0.3">
      <c r="A58" s="2" t="s">
        <v>152</v>
      </c>
      <c r="B58" s="2" t="s">
        <v>107</v>
      </c>
      <c r="C58" s="2" t="s">
        <v>16</v>
      </c>
      <c r="D58" s="2" t="s">
        <v>17</v>
      </c>
      <c r="E58" s="2">
        <v>78080</v>
      </c>
      <c r="F58" s="2">
        <f t="shared" si="0"/>
        <v>15616</v>
      </c>
      <c r="G58" s="2">
        <f t="shared" si="1"/>
        <v>7808</v>
      </c>
      <c r="H58" s="2">
        <f t="shared" si="2"/>
        <v>4684.8</v>
      </c>
      <c r="I58" s="2">
        <f t="shared" si="3"/>
        <v>9369.6</v>
      </c>
      <c r="J58" s="2">
        <f t="shared" si="4"/>
        <v>3904</v>
      </c>
      <c r="K58" s="5">
        <f t="shared" si="5"/>
        <v>119462.40000000001</v>
      </c>
      <c r="L58" s="5">
        <f t="shared" si="6"/>
        <v>106188.8</v>
      </c>
      <c r="M58" s="3">
        <v>893475625349</v>
      </c>
      <c r="N58" s="2" t="s">
        <v>36</v>
      </c>
    </row>
    <row r="59" spans="1:14" x14ac:dyDescent="0.3">
      <c r="A59" s="2" t="s">
        <v>153</v>
      </c>
      <c r="B59" s="2" t="s">
        <v>154</v>
      </c>
      <c r="C59" s="2" t="s">
        <v>21</v>
      </c>
      <c r="D59" s="2" t="s">
        <v>99</v>
      </c>
      <c r="E59" s="2">
        <v>66539</v>
      </c>
      <c r="F59" s="2">
        <f t="shared" si="0"/>
        <v>13307.800000000001</v>
      </c>
      <c r="G59" s="2">
        <f t="shared" si="1"/>
        <v>6653.9000000000005</v>
      </c>
      <c r="H59" s="2">
        <f t="shared" si="2"/>
        <v>3992.3399999999997</v>
      </c>
      <c r="I59" s="2">
        <f t="shared" si="3"/>
        <v>7984.6799999999994</v>
      </c>
      <c r="J59" s="2">
        <f t="shared" si="4"/>
        <v>3326.9500000000003</v>
      </c>
      <c r="K59" s="5">
        <f t="shared" si="5"/>
        <v>101804.66999999998</v>
      </c>
      <c r="L59" s="5">
        <f t="shared" si="6"/>
        <v>90493.039999999979</v>
      </c>
      <c r="M59" s="3">
        <v>893475626139</v>
      </c>
      <c r="N59" s="2" t="s">
        <v>28</v>
      </c>
    </row>
    <row r="60" spans="1:14" x14ac:dyDescent="0.3">
      <c r="A60" s="2" t="s">
        <v>155</v>
      </c>
      <c r="B60" s="2" t="s">
        <v>156</v>
      </c>
      <c r="C60" s="2" t="s">
        <v>44</v>
      </c>
      <c r="D60" s="2" t="s">
        <v>70</v>
      </c>
      <c r="E60" s="2">
        <v>27457</v>
      </c>
      <c r="F60" s="2">
        <f t="shared" si="0"/>
        <v>5491.4000000000005</v>
      </c>
      <c r="G60" s="2">
        <f t="shared" si="1"/>
        <v>2745.7000000000003</v>
      </c>
      <c r="H60" s="2">
        <f t="shared" si="2"/>
        <v>1647.4199999999998</v>
      </c>
      <c r="I60" s="2">
        <f t="shared" si="3"/>
        <v>3294.8399999999997</v>
      </c>
      <c r="J60" s="2">
        <f t="shared" si="4"/>
        <v>1372.8500000000001</v>
      </c>
      <c r="K60" s="5">
        <f t="shared" si="5"/>
        <v>42009.209999999992</v>
      </c>
      <c r="L60" s="5">
        <f t="shared" si="6"/>
        <v>37341.51999999999</v>
      </c>
      <c r="M60" s="3">
        <v>893475625173</v>
      </c>
      <c r="N60" s="2" t="s">
        <v>36</v>
      </c>
    </row>
    <row r="61" spans="1:14" x14ac:dyDescent="0.3">
      <c r="A61" s="2" t="s">
        <v>157</v>
      </c>
      <c r="B61" s="2" t="s">
        <v>158</v>
      </c>
      <c r="C61" s="2" t="s">
        <v>34</v>
      </c>
      <c r="D61" s="2" t="s">
        <v>35</v>
      </c>
      <c r="E61" s="2">
        <v>19585</v>
      </c>
      <c r="F61" s="2">
        <f t="shared" si="0"/>
        <v>3917</v>
      </c>
      <c r="G61" s="2">
        <f t="shared" si="1"/>
        <v>1958.5</v>
      </c>
      <c r="H61" s="2">
        <f t="shared" si="2"/>
        <v>1175.0999999999999</v>
      </c>
      <c r="I61" s="2">
        <f t="shared" si="3"/>
        <v>2350.1999999999998</v>
      </c>
      <c r="J61" s="2">
        <f t="shared" si="4"/>
        <v>979.25</v>
      </c>
      <c r="K61" s="5">
        <f t="shared" si="5"/>
        <v>29965.05</v>
      </c>
      <c r="L61" s="5">
        <f t="shared" si="6"/>
        <v>26635.599999999999</v>
      </c>
      <c r="M61" s="3">
        <v>893475626409</v>
      </c>
      <c r="N61" s="2" t="s">
        <v>71</v>
      </c>
    </row>
    <row r="62" spans="1:14" x14ac:dyDescent="0.3">
      <c r="A62" s="2" t="s">
        <v>159</v>
      </c>
      <c r="B62" s="2" t="s">
        <v>94</v>
      </c>
      <c r="C62" s="2" t="s">
        <v>16</v>
      </c>
      <c r="D62" s="2" t="s">
        <v>41</v>
      </c>
      <c r="E62" s="2">
        <v>41764</v>
      </c>
      <c r="F62" s="2">
        <f t="shared" si="0"/>
        <v>8352.8000000000011</v>
      </c>
      <c r="G62" s="2">
        <f t="shared" si="1"/>
        <v>4176.4000000000005</v>
      </c>
      <c r="H62" s="2">
        <f t="shared" si="2"/>
        <v>2505.8399999999997</v>
      </c>
      <c r="I62" s="2">
        <f t="shared" si="3"/>
        <v>5011.6799999999994</v>
      </c>
      <c r="J62" s="2">
        <f t="shared" si="4"/>
        <v>2088.2000000000003</v>
      </c>
      <c r="K62" s="5">
        <f t="shared" si="5"/>
        <v>63898.92</v>
      </c>
      <c r="L62" s="5">
        <f t="shared" si="6"/>
        <v>56799.040000000001</v>
      </c>
      <c r="M62" s="3">
        <v>893475626344</v>
      </c>
      <c r="N62" s="2" t="s">
        <v>28</v>
      </c>
    </row>
    <row r="63" spans="1:14" x14ac:dyDescent="0.3">
      <c r="A63" s="2" t="s">
        <v>160</v>
      </c>
      <c r="B63" s="2" t="s">
        <v>161</v>
      </c>
      <c r="C63" s="2" t="s">
        <v>52</v>
      </c>
      <c r="D63" s="2" t="s">
        <v>53</v>
      </c>
      <c r="E63" s="2">
        <v>58576</v>
      </c>
      <c r="F63" s="2">
        <f t="shared" si="0"/>
        <v>11715.2</v>
      </c>
      <c r="G63" s="2">
        <f t="shared" si="1"/>
        <v>5857.6</v>
      </c>
      <c r="H63" s="2">
        <f t="shared" si="2"/>
        <v>3514.56</v>
      </c>
      <c r="I63" s="2">
        <f t="shared" si="3"/>
        <v>7029.12</v>
      </c>
      <c r="J63" s="2">
        <f t="shared" si="4"/>
        <v>2928.8</v>
      </c>
      <c r="K63" s="5">
        <f t="shared" si="5"/>
        <v>89621.28</v>
      </c>
      <c r="L63" s="5">
        <f t="shared" si="6"/>
        <v>79663.360000000001</v>
      </c>
      <c r="M63" s="3">
        <v>893475627211</v>
      </c>
      <c r="N63" s="2" t="s">
        <v>18</v>
      </c>
    </row>
    <row r="64" spans="1:14" x14ac:dyDescent="0.3">
      <c r="A64" s="2" t="s">
        <v>162</v>
      </c>
      <c r="B64" s="2" t="s">
        <v>163</v>
      </c>
      <c r="C64" s="2" t="s">
        <v>16</v>
      </c>
      <c r="D64" s="2" t="s">
        <v>41</v>
      </c>
      <c r="E64" s="2">
        <v>69639</v>
      </c>
      <c r="F64" s="2">
        <f t="shared" si="0"/>
        <v>13927.800000000001</v>
      </c>
      <c r="G64" s="2">
        <f t="shared" si="1"/>
        <v>6963.9000000000005</v>
      </c>
      <c r="H64" s="2">
        <f t="shared" si="2"/>
        <v>4178.34</v>
      </c>
      <c r="I64" s="2">
        <f t="shared" si="3"/>
        <v>8356.68</v>
      </c>
      <c r="J64" s="2">
        <f t="shared" si="4"/>
        <v>3481.9500000000003</v>
      </c>
      <c r="K64" s="5">
        <f t="shared" si="5"/>
        <v>106547.67</v>
      </c>
      <c r="L64" s="5">
        <f t="shared" si="6"/>
        <v>94709.04</v>
      </c>
      <c r="M64" s="3">
        <v>893475621006</v>
      </c>
      <c r="N64" s="2" t="s">
        <v>31</v>
      </c>
    </row>
    <row r="65" spans="1:14" x14ac:dyDescent="0.3">
      <c r="A65" s="2" t="s">
        <v>164</v>
      </c>
      <c r="B65" s="2" t="s">
        <v>83</v>
      </c>
      <c r="C65" s="2" t="s">
        <v>21</v>
      </c>
      <c r="D65" s="2" t="s">
        <v>99</v>
      </c>
      <c r="E65" s="2">
        <v>43952</v>
      </c>
      <c r="F65" s="2">
        <f t="shared" si="0"/>
        <v>8790.4</v>
      </c>
      <c r="G65" s="2">
        <f t="shared" si="1"/>
        <v>4395.2</v>
      </c>
      <c r="H65" s="2">
        <f t="shared" si="2"/>
        <v>2637.12</v>
      </c>
      <c r="I65" s="2">
        <f t="shared" si="3"/>
        <v>5274.24</v>
      </c>
      <c r="J65" s="2">
        <f t="shared" si="4"/>
        <v>2197.6</v>
      </c>
      <c r="K65" s="5">
        <f t="shared" si="5"/>
        <v>67246.559999999998</v>
      </c>
      <c r="L65" s="5">
        <f t="shared" si="6"/>
        <v>59774.720000000001</v>
      </c>
      <c r="M65" s="3">
        <v>893475628244</v>
      </c>
      <c r="N65" s="2" t="s">
        <v>18</v>
      </c>
    </row>
    <row r="66" spans="1:14" x14ac:dyDescent="0.3">
      <c r="A66" s="2" t="s">
        <v>165</v>
      </c>
      <c r="B66" s="2" t="s">
        <v>166</v>
      </c>
      <c r="C66" s="2" t="s">
        <v>62</v>
      </c>
      <c r="D66" s="2" t="s">
        <v>63</v>
      </c>
      <c r="E66" s="2">
        <v>20557</v>
      </c>
      <c r="F66" s="2">
        <f t="shared" si="0"/>
        <v>4111.4000000000005</v>
      </c>
      <c r="G66" s="2">
        <f t="shared" si="1"/>
        <v>2055.7000000000003</v>
      </c>
      <c r="H66" s="2">
        <f t="shared" si="2"/>
        <v>1233.4199999999998</v>
      </c>
      <c r="I66" s="2">
        <f t="shared" si="3"/>
        <v>2466.8399999999997</v>
      </c>
      <c r="J66" s="2">
        <f t="shared" si="4"/>
        <v>1027.8500000000001</v>
      </c>
      <c r="K66" s="5">
        <f t="shared" si="5"/>
        <v>31452.21</v>
      </c>
      <c r="L66" s="5">
        <f t="shared" si="6"/>
        <v>27957.52</v>
      </c>
      <c r="M66" s="3">
        <v>893475625649</v>
      </c>
      <c r="N66" s="2" t="s">
        <v>71</v>
      </c>
    </row>
    <row r="67" spans="1:14" x14ac:dyDescent="0.3">
      <c r="A67" s="2" t="s">
        <v>167</v>
      </c>
      <c r="B67" s="2" t="s">
        <v>81</v>
      </c>
      <c r="C67" s="2" t="s">
        <v>44</v>
      </c>
      <c r="D67" s="2" t="s">
        <v>45</v>
      </c>
      <c r="E67" s="2">
        <v>35343</v>
      </c>
      <c r="F67" s="2">
        <f t="shared" ref="F67:F130" si="7">E67*20%</f>
        <v>7068.6</v>
      </c>
      <c r="G67" s="2">
        <f t="shared" ref="G67:G130" si="8">E67*10%</f>
        <v>3534.3</v>
      </c>
      <c r="H67" s="2">
        <f t="shared" ref="H67:H130" si="9">E67*6%</f>
        <v>2120.58</v>
      </c>
      <c r="I67" s="2">
        <f t="shared" ref="I67:I130" si="10">E67*12%</f>
        <v>4241.16</v>
      </c>
      <c r="J67" s="2">
        <f t="shared" ref="J67:J130" si="11">E67*5%</f>
        <v>1767.15</v>
      </c>
      <c r="K67" s="5">
        <f t="shared" ref="K67:K130" si="12">SUM(E67:J67)</f>
        <v>54074.79</v>
      </c>
      <c r="L67" s="5">
        <f t="shared" ref="L67:L130" si="13">K67-(I67+J67)</f>
        <v>48066.48</v>
      </c>
      <c r="M67" s="3">
        <v>893475624680</v>
      </c>
      <c r="N67" s="2" t="s">
        <v>57</v>
      </c>
    </row>
    <row r="68" spans="1:14" x14ac:dyDescent="0.3">
      <c r="A68" s="2" t="s">
        <v>168</v>
      </c>
      <c r="B68" s="2" t="s">
        <v>79</v>
      </c>
      <c r="C68" s="2" t="s">
        <v>26</v>
      </c>
      <c r="D68" s="2" t="s">
        <v>74</v>
      </c>
      <c r="E68" s="2">
        <v>79483</v>
      </c>
      <c r="F68" s="2">
        <f t="shared" si="7"/>
        <v>15896.6</v>
      </c>
      <c r="G68" s="2">
        <f t="shared" si="8"/>
        <v>7948.3</v>
      </c>
      <c r="H68" s="2">
        <f t="shared" si="9"/>
        <v>4768.9799999999996</v>
      </c>
      <c r="I68" s="2">
        <f t="shared" si="10"/>
        <v>9537.9599999999991</v>
      </c>
      <c r="J68" s="2">
        <f t="shared" si="11"/>
        <v>3974.15</v>
      </c>
      <c r="K68" s="5">
        <f t="shared" si="12"/>
        <v>121608.98999999999</v>
      </c>
      <c r="L68" s="5">
        <f t="shared" si="13"/>
        <v>108096.87999999999</v>
      </c>
      <c r="M68" s="3">
        <v>893475628784</v>
      </c>
      <c r="N68" s="2" t="s">
        <v>71</v>
      </c>
    </row>
    <row r="69" spans="1:14" x14ac:dyDescent="0.3">
      <c r="A69" s="2" t="s">
        <v>169</v>
      </c>
      <c r="B69" s="2" t="s">
        <v>170</v>
      </c>
      <c r="C69" s="2" t="s">
        <v>21</v>
      </c>
      <c r="D69" s="2" t="s">
        <v>22</v>
      </c>
      <c r="E69" s="2">
        <v>60636</v>
      </c>
      <c r="F69" s="2">
        <f t="shared" si="7"/>
        <v>12127.2</v>
      </c>
      <c r="G69" s="2">
        <f t="shared" si="8"/>
        <v>6063.6</v>
      </c>
      <c r="H69" s="2">
        <f t="shared" si="9"/>
        <v>3638.16</v>
      </c>
      <c r="I69" s="2">
        <f t="shared" si="10"/>
        <v>7276.32</v>
      </c>
      <c r="J69" s="2">
        <f t="shared" si="11"/>
        <v>3031.8</v>
      </c>
      <c r="K69" s="5">
        <f t="shared" si="12"/>
        <v>92773.08</v>
      </c>
      <c r="L69" s="5">
        <f t="shared" si="13"/>
        <v>82464.960000000006</v>
      </c>
      <c r="M69" s="3">
        <v>893475627291</v>
      </c>
      <c r="N69" s="2" t="s">
        <v>28</v>
      </c>
    </row>
    <row r="70" spans="1:14" x14ac:dyDescent="0.3">
      <c r="A70" s="2" t="s">
        <v>171</v>
      </c>
      <c r="B70" s="2" t="s">
        <v>172</v>
      </c>
      <c r="C70" s="2" t="s">
        <v>52</v>
      </c>
      <c r="D70" s="2" t="s">
        <v>53</v>
      </c>
      <c r="E70" s="2">
        <v>66014</v>
      </c>
      <c r="F70" s="2">
        <f t="shared" si="7"/>
        <v>13202.800000000001</v>
      </c>
      <c r="G70" s="2">
        <f t="shared" si="8"/>
        <v>6601.4000000000005</v>
      </c>
      <c r="H70" s="2">
        <f t="shared" si="9"/>
        <v>3960.8399999999997</v>
      </c>
      <c r="I70" s="2">
        <f t="shared" si="10"/>
        <v>7921.6799999999994</v>
      </c>
      <c r="J70" s="2">
        <f t="shared" si="11"/>
        <v>3300.7000000000003</v>
      </c>
      <c r="K70" s="5">
        <f t="shared" si="12"/>
        <v>101001.41999999998</v>
      </c>
      <c r="L70" s="5">
        <f t="shared" si="13"/>
        <v>89779.039999999979</v>
      </c>
      <c r="M70" s="3">
        <v>893475627965</v>
      </c>
      <c r="N70" s="2" t="s">
        <v>23</v>
      </c>
    </row>
    <row r="71" spans="1:14" x14ac:dyDescent="0.3">
      <c r="A71" s="2" t="s">
        <v>173</v>
      </c>
      <c r="B71" s="2" t="s">
        <v>174</v>
      </c>
      <c r="C71" s="2" t="s">
        <v>62</v>
      </c>
      <c r="D71" s="2" t="s">
        <v>63</v>
      </c>
      <c r="E71" s="2">
        <v>31331</v>
      </c>
      <c r="F71" s="2">
        <f t="shared" si="7"/>
        <v>6266.2000000000007</v>
      </c>
      <c r="G71" s="2">
        <f t="shared" si="8"/>
        <v>3133.1000000000004</v>
      </c>
      <c r="H71" s="2">
        <f t="shared" si="9"/>
        <v>1879.86</v>
      </c>
      <c r="I71" s="2">
        <f t="shared" si="10"/>
        <v>3759.72</v>
      </c>
      <c r="J71" s="2">
        <f t="shared" si="11"/>
        <v>1566.5500000000002</v>
      </c>
      <c r="K71" s="5">
        <f t="shared" si="12"/>
        <v>47936.43</v>
      </c>
      <c r="L71" s="5">
        <f t="shared" si="13"/>
        <v>42610.16</v>
      </c>
      <c r="M71" s="3">
        <v>893475622988</v>
      </c>
      <c r="N71" s="2" t="s">
        <v>28</v>
      </c>
    </row>
    <row r="72" spans="1:14" x14ac:dyDescent="0.3">
      <c r="A72" s="2" t="s">
        <v>175</v>
      </c>
      <c r="B72" s="2" t="s">
        <v>176</v>
      </c>
      <c r="C72" s="2" t="s">
        <v>48</v>
      </c>
      <c r="D72" s="2" t="s">
        <v>49</v>
      </c>
      <c r="E72" s="2">
        <v>68412</v>
      </c>
      <c r="F72" s="2">
        <f t="shared" si="7"/>
        <v>13682.400000000001</v>
      </c>
      <c r="G72" s="2">
        <f t="shared" si="8"/>
        <v>6841.2000000000007</v>
      </c>
      <c r="H72" s="2">
        <f t="shared" si="9"/>
        <v>4104.72</v>
      </c>
      <c r="I72" s="2">
        <f t="shared" si="10"/>
        <v>8209.44</v>
      </c>
      <c r="J72" s="2">
        <f t="shared" si="11"/>
        <v>3420.6000000000004</v>
      </c>
      <c r="K72" s="5">
        <f t="shared" si="12"/>
        <v>104670.36</v>
      </c>
      <c r="L72" s="5">
        <f t="shared" si="13"/>
        <v>93040.320000000007</v>
      </c>
      <c r="M72" s="3">
        <v>893475629270</v>
      </c>
      <c r="N72" s="2" t="s">
        <v>28</v>
      </c>
    </row>
    <row r="73" spans="1:14" x14ac:dyDescent="0.3">
      <c r="A73" s="2" t="s">
        <v>177</v>
      </c>
      <c r="B73" s="2" t="s">
        <v>178</v>
      </c>
      <c r="C73" s="2" t="s">
        <v>52</v>
      </c>
      <c r="D73" s="2" t="s">
        <v>111</v>
      </c>
      <c r="E73" s="2">
        <v>31986</v>
      </c>
      <c r="F73" s="2">
        <f t="shared" si="7"/>
        <v>6397.2000000000007</v>
      </c>
      <c r="G73" s="2">
        <f t="shared" si="8"/>
        <v>3198.6000000000004</v>
      </c>
      <c r="H73" s="2">
        <f t="shared" si="9"/>
        <v>1919.1599999999999</v>
      </c>
      <c r="I73" s="2">
        <f t="shared" si="10"/>
        <v>3838.3199999999997</v>
      </c>
      <c r="J73" s="2">
        <f t="shared" si="11"/>
        <v>1599.3000000000002</v>
      </c>
      <c r="K73" s="5">
        <f t="shared" si="12"/>
        <v>48938.579999999994</v>
      </c>
      <c r="L73" s="5">
        <f t="shared" si="13"/>
        <v>43500.959999999992</v>
      </c>
      <c r="M73" s="3">
        <v>893475625050</v>
      </c>
      <c r="N73" s="2" t="s">
        <v>57</v>
      </c>
    </row>
    <row r="74" spans="1:14" x14ac:dyDescent="0.3">
      <c r="A74" s="2" t="s">
        <v>179</v>
      </c>
      <c r="B74" s="2" t="s">
        <v>73</v>
      </c>
      <c r="C74" s="2" t="s">
        <v>62</v>
      </c>
      <c r="D74" s="2" t="s">
        <v>63</v>
      </c>
      <c r="E74" s="2">
        <v>43827</v>
      </c>
      <c r="F74" s="2">
        <f t="shared" si="7"/>
        <v>8765.4</v>
      </c>
      <c r="G74" s="2">
        <f t="shared" si="8"/>
        <v>4382.7</v>
      </c>
      <c r="H74" s="2">
        <f t="shared" si="9"/>
        <v>2629.62</v>
      </c>
      <c r="I74" s="2">
        <f t="shared" si="10"/>
        <v>5259.24</v>
      </c>
      <c r="J74" s="2">
        <f t="shared" si="11"/>
        <v>2191.35</v>
      </c>
      <c r="K74" s="5">
        <f t="shared" si="12"/>
        <v>67055.31</v>
      </c>
      <c r="L74" s="5">
        <f t="shared" si="13"/>
        <v>59604.72</v>
      </c>
      <c r="M74" s="3">
        <v>893475622269</v>
      </c>
      <c r="N74" s="2" t="s">
        <v>18</v>
      </c>
    </row>
    <row r="75" spans="1:14" x14ac:dyDescent="0.3">
      <c r="A75" s="2" t="s">
        <v>180</v>
      </c>
      <c r="B75" s="2" t="s">
        <v>83</v>
      </c>
      <c r="C75" s="2" t="s">
        <v>16</v>
      </c>
      <c r="D75" s="2" t="s">
        <v>41</v>
      </c>
      <c r="E75" s="2">
        <v>73525</v>
      </c>
      <c r="F75" s="2">
        <f t="shared" si="7"/>
        <v>14705</v>
      </c>
      <c r="G75" s="2">
        <f t="shared" si="8"/>
        <v>7352.5</v>
      </c>
      <c r="H75" s="2">
        <f t="shared" si="9"/>
        <v>4411.5</v>
      </c>
      <c r="I75" s="2">
        <f t="shared" si="10"/>
        <v>8823</v>
      </c>
      <c r="J75" s="2">
        <f t="shared" si="11"/>
        <v>3676.25</v>
      </c>
      <c r="K75" s="5">
        <f t="shared" si="12"/>
        <v>112493.25</v>
      </c>
      <c r="L75" s="5">
        <f t="shared" si="13"/>
        <v>99994</v>
      </c>
      <c r="M75" s="3">
        <v>893475629849</v>
      </c>
      <c r="N75" s="2" t="s">
        <v>36</v>
      </c>
    </row>
    <row r="76" spans="1:14" x14ac:dyDescent="0.3">
      <c r="A76" s="2" t="s">
        <v>181</v>
      </c>
      <c r="B76" s="2" t="s">
        <v>182</v>
      </c>
      <c r="C76" s="2" t="s">
        <v>34</v>
      </c>
      <c r="D76" s="2" t="s">
        <v>35</v>
      </c>
      <c r="E76" s="2">
        <v>25014</v>
      </c>
      <c r="F76" s="2">
        <f t="shared" si="7"/>
        <v>5002.8</v>
      </c>
      <c r="G76" s="2">
        <f t="shared" si="8"/>
        <v>2501.4</v>
      </c>
      <c r="H76" s="2">
        <f t="shared" si="9"/>
        <v>1500.84</v>
      </c>
      <c r="I76" s="2">
        <f t="shared" si="10"/>
        <v>3001.68</v>
      </c>
      <c r="J76" s="2">
        <f t="shared" si="11"/>
        <v>1250.7</v>
      </c>
      <c r="K76" s="5">
        <f t="shared" si="12"/>
        <v>38271.42</v>
      </c>
      <c r="L76" s="5">
        <f t="shared" si="13"/>
        <v>34019.040000000001</v>
      </c>
      <c r="M76" s="3">
        <v>893475624505</v>
      </c>
      <c r="N76" s="2" t="s">
        <v>36</v>
      </c>
    </row>
    <row r="77" spans="1:14" x14ac:dyDescent="0.3">
      <c r="A77" s="2" t="s">
        <v>183</v>
      </c>
      <c r="B77" s="2" t="s">
        <v>184</v>
      </c>
      <c r="C77" s="2" t="s">
        <v>48</v>
      </c>
      <c r="D77" s="2" t="s">
        <v>49</v>
      </c>
      <c r="E77" s="2">
        <v>19080</v>
      </c>
      <c r="F77" s="2">
        <f t="shared" si="7"/>
        <v>3816</v>
      </c>
      <c r="G77" s="2">
        <f t="shared" si="8"/>
        <v>1908</v>
      </c>
      <c r="H77" s="2">
        <f t="shared" si="9"/>
        <v>1144.8</v>
      </c>
      <c r="I77" s="2">
        <f t="shared" si="10"/>
        <v>2289.6</v>
      </c>
      <c r="J77" s="2">
        <f t="shared" si="11"/>
        <v>954</v>
      </c>
      <c r="K77" s="5">
        <f t="shared" si="12"/>
        <v>29192.399999999998</v>
      </c>
      <c r="L77" s="5">
        <f t="shared" si="13"/>
        <v>25948.799999999999</v>
      </c>
      <c r="M77" s="3">
        <v>893475624388</v>
      </c>
      <c r="N77" s="2" t="s">
        <v>57</v>
      </c>
    </row>
    <row r="78" spans="1:14" x14ac:dyDescent="0.3">
      <c r="A78" s="2" t="s">
        <v>185</v>
      </c>
      <c r="B78" s="2" t="s">
        <v>184</v>
      </c>
      <c r="C78" s="2" t="s">
        <v>26</v>
      </c>
      <c r="D78" s="2" t="s">
        <v>102</v>
      </c>
      <c r="E78" s="2">
        <v>15386</v>
      </c>
      <c r="F78" s="2">
        <f t="shared" si="7"/>
        <v>3077.2000000000003</v>
      </c>
      <c r="G78" s="2">
        <f t="shared" si="8"/>
        <v>1538.6000000000001</v>
      </c>
      <c r="H78" s="2">
        <f t="shared" si="9"/>
        <v>923.16</v>
      </c>
      <c r="I78" s="2">
        <f t="shared" si="10"/>
        <v>1846.32</v>
      </c>
      <c r="J78" s="2">
        <f t="shared" si="11"/>
        <v>769.30000000000007</v>
      </c>
      <c r="K78" s="5">
        <f t="shared" si="12"/>
        <v>23540.579999999998</v>
      </c>
      <c r="L78" s="5">
        <f t="shared" si="13"/>
        <v>20924.96</v>
      </c>
      <c r="M78" s="3">
        <v>893475626763</v>
      </c>
      <c r="N78" s="2" t="s">
        <v>31</v>
      </c>
    </row>
    <row r="79" spans="1:14" x14ac:dyDescent="0.3">
      <c r="A79" s="2" t="s">
        <v>186</v>
      </c>
      <c r="B79" s="2" t="s">
        <v>187</v>
      </c>
      <c r="C79" s="2" t="s">
        <v>34</v>
      </c>
      <c r="D79" s="2" t="s">
        <v>35</v>
      </c>
      <c r="E79" s="2">
        <v>32887</v>
      </c>
      <c r="F79" s="2">
        <f t="shared" si="7"/>
        <v>6577.4000000000005</v>
      </c>
      <c r="G79" s="2">
        <f t="shared" si="8"/>
        <v>3288.7000000000003</v>
      </c>
      <c r="H79" s="2">
        <f t="shared" si="9"/>
        <v>1973.22</v>
      </c>
      <c r="I79" s="2">
        <f t="shared" si="10"/>
        <v>3946.44</v>
      </c>
      <c r="J79" s="2">
        <f t="shared" si="11"/>
        <v>1644.3500000000001</v>
      </c>
      <c r="K79" s="5">
        <f t="shared" si="12"/>
        <v>50317.11</v>
      </c>
      <c r="L79" s="5">
        <f t="shared" si="13"/>
        <v>44726.32</v>
      </c>
      <c r="M79" s="3">
        <v>893475628140</v>
      </c>
      <c r="N79" s="2" t="s">
        <v>28</v>
      </c>
    </row>
    <row r="80" spans="1:14" x14ac:dyDescent="0.3">
      <c r="A80" s="2" t="s">
        <v>188</v>
      </c>
      <c r="B80" s="2" t="s">
        <v>189</v>
      </c>
      <c r="C80" s="2" t="s">
        <v>48</v>
      </c>
      <c r="D80" s="2" t="s">
        <v>49</v>
      </c>
      <c r="E80" s="2">
        <v>25816</v>
      </c>
      <c r="F80" s="2">
        <f t="shared" si="7"/>
        <v>5163.2000000000007</v>
      </c>
      <c r="G80" s="2">
        <f t="shared" si="8"/>
        <v>2581.6000000000004</v>
      </c>
      <c r="H80" s="2">
        <f t="shared" si="9"/>
        <v>1548.96</v>
      </c>
      <c r="I80" s="2">
        <f t="shared" si="10"/>
        <v>3097.92</v>
      </c>
      <c r="J80" s="2">
        <f t="shared" si="11"/>
        <v>1290.8000000000002</v>
      </c>
      <c r="K80" s="5">
        <f t="shared" si="12"/>
        <v>39498.480000000003</v>
      </c>
      <c r="L80" s="5">
        <f t="shared" si="13"/>
        <v>35109.760000000002</v>
      </c>
      <c r="M80" s="3">
        <v>893475628657</v>
      </c>
      <c r="N80" s="2" t="s">
        <v>23</v>
      </c>
    </row>
    <row r="81" spans="1:14" x14ac:dyDescent="0.3">
      <c r="A81" s="2" t="s">
        <v>190</v>
      </c>
      <c r="B81" s="2" t="s">
        <v>156</v>
      </c>
      <c r="C81" s="2" t="s">
        <v>26</v>
      </c>
      <c r="D81" s="2" t="s">
        <v>102</v>
      </c>
      <c r="E81" s="2">
        <v>51987</v>
      </c>
      <c r="F81" s="2">
        <f t="shared" si="7"/>
        <v>10397.400000000001</v>
      </c>
      <c r="G81" s="2">
        <f t="shared" si="8"/>
        <v>5198.7000000000007</v>
      </c>
      <c r="H81" s="2">
        <f t="shared" si="9"/>
        <v>3119.22</v>
      </c>
      <c r="I81" s="2">
        <f t="shared" si="10"/>
        <v>6238.44</v>
      </c>
      <c r="J81" s="2">
        <f t="shared" si="11"/>
        <v>2599.3500000000004</v>
      </c>
      <c r="K81" s="5">
        <f t="shared" si="12"/>
        <v>79540.110000000015</v>
      </c>
      <c r="L81" s="5">
        <f t="shared" si="13"/>
        <v>70702.320000000007</v>
      </c>
      <c r="M81" s="3">
        <v>893475621444</v>
      </c>
      <c r="N81" s="2" t="s">
        <v>36</v>
      </c>
    </row>
    <row r="82" spans="1:14" x14ac:dyDescent="0.3">
      <c r="A82" s="2" t="s">
        <v>191</v>
      </c>
      <c r="B82" s="2" t="s">
        <v>192</v>
      </c>
      <c r="C82" s="2" t="s">
        <v>62</v>
      </c>
      <c r="D82" s="2" t="s">
        <v>63</v>
      </c>
      <c r="E82" s="2">
        <v>32049</v>
      </c>
      <c r="F82" s="2">
        <f t="shared" si="7"/>
        <v>6409.8</v>
      </c>
      <c r="G82" s="2">
        <f t="shared" si="8"/>
        <v>3204.9</v>
      </c>
      <c r="H82" s="2">
        <f t="shared" si="9"/>
        <v>1922.9399999999998</v>
      </c>
      <c r="I82" s="2">
        <f t="shared" si="10"/>
        <v>3845.8799999999997</v>
      </c>
      <c r="J82" s="2">
        <f t="shared" si="11"/>
        <v>1602.45</v>
      </c>
      <c r="K82" s="5">
        <f t="shared" si="12"/>
        <v>49034.97</v>
      </c>
      <c r="L82" s="5">
        <f t="shared" si="13"/>
        <v>43586.64</v>
      </c>
      <c r="M82" s="3">
        <v>893475627211</v>
      </c>
      <c r="N82" s="2" t="s">
        <v>31</v>
      </c>
    </row>
    <row r="83" spans="1:14" x14ac:dyDescent="0.3">
      <c r="A83" s="2" t="s">
        <v>193</v>
      </c>
      <c r="B83" s="2" t="s">
        <v>194</v>
      </c>
      <c r="C83" s="2" t="s">
        <v>48</v>
      </c>
      <c r="D83" s="2" t="s">
        <v>49</v>
      </c>
      <c r="E83" s="2">
        <v>33235</v>
      </c>
      <c r="F83" s="2">
        <f t="shared" si="7"/>
        <v>6647</v>
      </c>
      <c r="G83" s="2">
        <f t="shared" si="8"/>
        <v>3323.5</v>
      </c>
      <c r="H83" s="2">
        <f t="shared" si="9"/>
        <v>1994.1</v>
      </c>
      <c r="I83" s="2">
        <f t="shared" si="10"/>
        <v>3988.2</v>
      </c>
      <c r="J83" s="2">
        <f t="shared" si="11"/>
        <v>1661.75</v>
      </c>
      <c r="K83" s="5">
        <f t="shared" si="12"/>
        <v>50849.549999999996</v>
      </c>
      <c r="L83" s="5">
        <f t="shared" si="13"/>
        <v>45199.6</v>
      </c>
      <c r="M83" s="3">
        <v>893475627906</v>
      </c>
      <c r="N83" s="2" t="s">
        <v>31</v>
      </c>
    </row>
    <row r="84" spans="1:14" x14ac:dyDescent="0.3">
      <c r="A84" s="2" t="s">
        <v>195</v>
      </c>
      <c r="B84" s="2" t="s">
        <v>170</v>
      </c>
      <c r="C84" s="2" t="s">
        <v>26</v>
      </c>
      <c r="D84" s="2" t="s">
        <v>74</v>
      </c>
      <c r="E84" s="2">
        <v>29694</v>
      </c>
      <c r="F84" s="2">
        <f t="shared" si="7"/>
        <v>5938.8</v>
      </c>
      <c r="G84" s="2">
        <f t="shared" si="8"/>
        <v>2969.4</v>
      </c>
      <c r="H84" s="2">
        <f t="shared" si="9"/>
        <v>1781.6399999999999</v>
      </c>
      <c r="I84" s="2">
        <f t="shared" si="10"/>
        <v>3563.2799999999997</v>
      </c>
      <c r="J84" s="2">
        <f t="shared" si="11"/>
        <v>1484.7</v>
      </c>
      <c r="K84" s="5">
        <f t="shared" si="12"/>
        <v>45431.82</v>
      </c>
      <c r="L84" s="5">
        <f t="shared" si="13"/>
        <v>40383.839999999997</v>
      </c>
      <c r="M84" s="3">
        <v>893475622124</v>
      </c>
      <c r="N84" s="2" t="s">
        <v>57</v>
      </c>
    </row>
    <row r="85" spans="1:14" x14ac:dyDescent="0.3">
      <c r="A85" s="2" t="s">
        <v>196</v>
      </c>
      <c r="B85" s="2" t="s">
        <v>197</v>
      </c>
      <c r="C85" s="2" t="s">
        <v>34</v>
      </c>
      <c r="D85" s="2" t="s">
        <v>108</v>
      </c>
      <c r="E85" s="2">
        <v>55719</v>
      </c>
      <c r="F85" s="2">
        <f t="shared" si="7"/>
        <v>11143.800000000001</v>
      </c>
      <c r="G85" s="2">
        <f t="shared" si="8"/>
        <v>5571.9000000000005</v>
      </c>
      <c r="H85" s="2">
        <f t="shared" si="9"/>
        <v>3343.14</v>
      </c>
      <c r="I85" s="2">
        <f t="shared" si="10"/>
        <v>6686.28</v>
      </c>
      <c r="J85" s="2">
        <f t="shared" si="11"/>
        <v>2785.9500000000003</v>
      </c>
      <c r="K85" s="5">
        <f t="shared" si="12"/>
        <v>85250.069999999992</v>
      </c>
      <c r="L85" s="5">
        <f t="shared" si="13"/>
        <v>75777.84</v>
      </c>
      <c r="M85" s="3">
        <v>893475623496</v>
      </c>
      <c r="N85" s="2" t="s">
        <v>23</v>
      </c>
    </row>
    <row r="86" spans="1:14" x14ac:dyDescent="0.3">
      <c r="A86" s="2" t="s">
        <v>198</v>
      </c>
      <c r="B86" s="2" t="s">
        <v>176</v>
      </c>
      <c r="C86" s="2" t="s">
        <v>44</v>
      </c>
      <c r="D86" s="2" t="s">
        <v>45</v>
      </c>
      <c r="E86" s="2">
        <v>60840</v>
      </c>
      <c r="F86" s="2">
        <f t="shared" si="7"/>
        <v>12168</v>
      </c>
      <c r="G86" s="2">
        <f t="shared" si="8"/>
        <v>6084</v>
      </c>
      <c r="H86" s="2">
        <f t="shared" si="9"/>
        <v>3650.4</v>
      </c>
      <c r="I86" s="2">
        <f t="shared" si="10"/>
        <v>7300.8</v>
      </c>
      <c r="J86" s="2">
        <f t="shared" si="11"/>
        <v>3042</v>
      </c>
      <c r="K86" s="5">
        <f t="shared" si="12"/>
        <v>93085.2</v>
      </c>
      <c r="L86" s="5">
        <f t="shared" si="13"/>
        <v>82742.399999999994</v>
      </c>
      <c r="M86" s="3">
        <v>893475625198</v>
      </c>
      <c r="N86" s="2" t="s">
        <v>57</v>
      </c>
    </row>
    <row r="87" spans="1:14" x14ac:dyDescent="0.3">
      <c r="A87" s="2" t="s">
        <v>199</v>
      </c>
      <c r="B87" s="2" t="s">
        <v>47</v>
      </c>
      <c r="C87" s="2" t="s">
        <v>44</v>
      </c>
      <c r="D87" s="2" t="s">
        <v>45</v>
      </c>
      <c r="E87" s="2">
        <v>22084</v>
      </c>
      <c r="F87" s="2">
        <f t="shared" si="7"/>
        <v>4416.8</v>
      </c>
      <c r="G87" s="2">
        <f t="shared" si="8"/>
        <v>2208.4</v>
      </c>
      <c r="H87" s="2">
        <f t="shared" si="9"/>
        <v>1325.04</v>
      </c>
      <c r="I87" s="2">
        <f t="shared" si="10"/>
        <v>2650.08</v>
      </c>
      <c r="J87" s="2">
        <f t="shared" si="11"/>
        <v>1104.2</v>
      </c>
      <c r="K87" s="5">
        <f t="shared" si="12"/>
        <v>33788.519999999997</v>
      </c>
      <c r="L87" s="5">
        <f t="shared" si="13"/>
        <v>30034.239999999998</v>
      </c>
      <c r="M87" s="3">
        <v>893475621420</v>
      </c>
      <c r="N87" s="2" t="s">
        <v>31</v>
      </c>
    </row>
    <row r="88" spans="1:14" x14ac:dyDescent="0.3">
      <c r="A88" s="2" t="s">
        <v>200</v>
      </c>
      <c r="B88" s="2" t="s">
        <v>201</v>
      </c>
      <c r="C88" s="2" t="s">
        <v>21</v>
      </c>
      <c r="D88" s="2" t="s">
        <v>22</v>
      </c>
      <c r="E88" s="2">
        <v>53803</v>
      </c>
      <c r="F88" s="2">
        <f t="shared" si="7"/>
        <v>10760.6</v>
      </c>
      <c r="G88" s="2">
        <f t="shared" si="8"/>
        <v>5380.3</v>
      </c>
      <c r="H88" s="2">
        <f t="shared" si="9"/>
        <v>3228.18</v>
      </c>
      <c r="I88" s="2">
        <f t="shared" si="10"/>
        <v>6456.36</v>
      </c>
      <c r="J88" s="2">
        <f t="shared" si="11"/>
        <v>2690.15</v>
      </c>
      <c r="K88" s="5">
        <f t="shared" si="12"/>
        <v>82318.589999999982</v>
      </c>
      <c r="L88" s="5">
        <f t="shared" si="13"/>
        <v>73172.079999999987</v>
      </c>
      <c r="M88" s="3">
        <v>893475624978</v>
      </c>
      <c r="N88" s="2" t="s">
        <v>36</v>
      </c>
    </row>
    <row r="89" spans="1:14" x14ac:dyDescent="0.3">
      <c r="A89" s="2" t="s">
        <v>202</v>
      </c>
      <c r="B89" s="2" t="s">
        <v>203</v>
      </c>
      <c r="C89" s="2" t="s">
        <v>44</v>
      </c>
      <c r="D89" s="2" t="s">
        <v>45</v>
      </c>
      <c r="E89" s="2">
        <v>49913</v>
      </c>
      <c r="F89" s="2">
        <f t="shared" si="7"/>
        <v>9982.6</v>
      </c>
      <c r="G89" s="2">
        <f t="shared" si="8"/>
        <v>4991.3</v>
      </c>
      <c r="H89" s="2">
        <f t="shared" si="9"/>
        <v>2994.7799999999997</v>
      </c>
      <c r="I89" s="2">
        <f t="shared" si="10"/>
        <v>5989.5599999999995</v>
      </c>
      <c r="J89" s="2">
        <f t="shared" si="11"/>
        <v>2495.65</v>
      </c>
      <c r="K89" s="5">
        <f t="shared" si="12"/>
        <v>76366.89</v>
      </c>
      <c r="L89" s="5">
        <f t="shared" si="13"/>
        <v>67881.679999999993</v>
      </c>
      <c r="M89" s="3">
        <v>893475628018</v>
      </c>
      <c r="N89" s="2" t="s">
        <v>18</v>
      </c>
    </row>
    <row r="90" spans="1:14" x14ac:dyDescent="0.3">
      <c r="A90" s="2" t="s">
        <v>204</v>
      </c>
      <c r="B90" s="2" t="s">
        <v>205</v>
      </c>
      <c r="C90" s="2" t="s">
        <v>48</v>
      </c>
      <c r="D90" s="2" t="s">
        <v>56</v>
      </c>
      <c r="E90" s="2">
        <v>68892</v>
      </c>
      <c r="F90" s="2">
        <f t="shared" si="7"/>
        <v>13778.400000000001</v>
      </c>
      <c r="G90" s="2">
        <f t="shared" si="8"/>
        <v>6889.2000000000007</v>
      </c>
      <c r="H90" s="2">
        <f t="shared" si="9"/>
        <v>4133.5199999999995</v>
      </c>
      <c r="I90" s="2">
        <f t="shared" si="10"/>
        <v>8267.0399999999991</v>
      </c>
      <c r="J90" s="2">
        <f t="shared" si="11"/>
        <v>3444.6000000000004</v>
      </c>
      <c r="K90" s="5">
        <f t="shared" si="12"/>
        <v>105404.76</v>
      </c>
      <c r="L90" s="5">
        <f t="shared" si="13"/>
        <v>93693.119999999995</v>
      </c>
      <c r="M90" s="3">
        <v>893475629031</v>
      </c>
      <c r="N90" s="2" t="s">
        <v>36</v>
      </c>
    </row>
    <row r="91" spans="1:14" x14ac:dyDescent="0.3">
      <c r="A91" s="2" t="s">
        <v>206</v>
      </c>
      <c r="B91" s="2" t="s">
        <v>207</v>
      </c>
      <c r="C91" s="2" t="s">
        <v>62</v>
      </c>
      <c r="D91" s="2" t="s">
        <v>63</v>
      </c>
      <c r="E91" s="2">
        <v>26543</v>
      </c>
      <c r="F91" s="2">
        <f t="shared" si="7"/>
        <v>5308.6</v>
      </c>
      <c r="G91" s="2">
        <f t="shared" si="8"/>
        <v>2654.3</v>
      </c>
      <c r="H91" s="2">
        <f t="shared" si="9"/>
        <v>1592.58</v>
      </c>
      <c r="I91" s="2">
        <f t="shared" si="10"/>
        <v>3185.16</v>
      </c>
      <c r="J91" s="2">
        <f t="shared" si="11"/>
        <v>1327.15</v>
      </c>
      <c r="K91" s="5">
        <f t="shared" si="12"/>
        <v>40610.79</v>
      </c>
      <c r="L91" s="5">
        <f t="shared" si="13"/>
        <v>36098.480000000003</v>
      </c>
      <c r="M91" s="3">
        <v>893475629548</v>
      </c>
      <c r="N91" s="2" t="s">
        <v>18</v>
      </c>
    </row>
    <row r="92" spans="1:14" x14ac:dyDescent="0.3">
      <c r="A92" s="2" t="s">
        <v>208</v>
      </c>
      <c r="B92" s="2" t="s">
        <v>209</v>
      </c>
      <c r="C92" s="2" t="s">
        <v>62</v>
      </c>
      <c r="D92" s="2" t="s">
        <v>137</v>
      </c>
      <c r="E92" s="2">
        <v>69115</v>
      </c>
      <c r="F92" s="2">
        <f t="shared" si="7"/>
        <v>13823</v>
      </c>
      <c r="G92" s="2">
        <f t="shared" si="8"/>
        <v>6911.5</v>
      </c>
      <c r="H92" s="2">
        <f t="shared" si="9"/>
        <v>4146.8999999999996</v>
      </c>
      <c r="I92" s="2">
        <f t="shared" si="10"/>
        <v>8293.7999999999993</v>
      </c>
      <c r="J92" s="2">
        <f t="shared" si="11"/>
        <v>3455.75</v>
      </c>
      <c r="K92" s="5">
        <f t="shared" si="12"/>
        <v>105745.95</v>
      </c>
      <c r="L92" s="5">
        <f t="shared" si="13"/>
        <v>93996.4</v>
      </c>
      <c r="M92" s="3">
        <v>893475625397</v>
      </c>
      <c r="N92" s="2" t="s">
        <v>31</v>
      </c>
    </row>
    <row r="93" spans="1:14" x14ac:dyDescent="0.3">
      <c r="A93" s="2" t="s">
        <v>210</v>
      </c>
      <c r="B93" s="2" t="s">
        <v>90</v>
      </c>
      <c r="C93" s="2" t="s">
        <v>16</v>
      </c>
      <c r="D93" s="2" t="s">
        <v>41</v>
      </c>
      <c r="E93" s="2">
        <v>64183</v>
      </c>
      <c r="F93" s="2">
        <f t="shared" si="7"/>
        <v>12836.6</v>
      </c>
      <c r="G93" s="2">
        <f t="shared" si="8"/>
        <v>6418.3</v>
      </c>
      <c r="H93" s="2">
        <f t="shared" si="9"/>
        <v>3850.98</v>
      </c>
      <c r="I93" s="2">
        <f t="shared" si="10"/>
        <v>7701.96</v>
      </c>
      <c r="J93" s="2">
        <f t="shared" si="11"/>
        <v>3209.15</v>
      </c>
      <c r="K93" s="5">
        <f t="shared" si="12"/>
        <v>98199.99</v>
      </c>
      <c r="L93" s="5">
        <f t="shared" si="13"/>
        <v>87288.88</v>
      </c>
      <c r="M93" s="3">
        <v>893475628613</v>
      </c>
      <c r="N93" s="2" t="s">
        <v>71</v>
      </c>
    </row>
    <row r="94" spans="1:14" x14ac:dyDescent="0.3">
      <c r="A94" s="2" t="s">
        <v>211</v>
      </c>
      <c r="B94" s="2" t="s">
        <v>212</v>
      </c>
      <c r="C94" s="2" t="s">
        <v>48</v>
      </c>
      <c r="D94" s="2" t="s">
        <v>56</v>
      </c>
      <c r="E94" s="2">
        <v>70768</v>
      </c>
      <c r="F94" s="2">
        <f t="shared" si="7"/>
        <v>14153.6</v>
      </c>
      <c r="G94" s="2">
        <f t="shared" si="8"/>
        <v>7076.8</v>
      </c>
      <c r="H94" s="2">
        <f t="shared" si="9"/>
        <v>4246.08</v>
      </c>
      <c r="I94" s="2">
        <f t="shared" si="10"/>
        <v>8492.16</v>
      </c>
      <c r="J94" s="2">
        <f t="shared" si="11"/>
        <v>3538.4</v>
      </c>
      <c r="K94" s="5">
        <f t="shared" si="12"/>
        <v>108275.04000000001</v>
      </c>
      <c r="L94" s="5">
        <f t="shared" si="13"/>
        <v>96244.48000000001</v>
      </c>
      <c r="M94" s="3">
        <v>893475626325</v>
      </c>
      <c r="N94" s="2" t="s">
        <v>23</v>
      </c>
    </row>
    <row r="95" spans="1:14" x14ac:dyDescent="0.3">
      <c r="A95" s="2" t="s">
        <v>213</v>
      </c>
      <c r="B95" s="2" t="s">
        <v>214</v>
      </c>
      <c r="C95" s="2" t="s">
        <v>48</v>
      </c>
      <c r="D95" s="2" t="s">
        <v>49</v>
      </c>
      <c r="E95" s="2">
        <v>33327</v>
      </c>
      <c r="F95" s="2">
        <f t="shared" si="7"/>
        <v>6665.4000000000005</v>
      </c>
      <c r="G95" s="2">
        <f t="shared" si="8"/>
        <v>3332.7000000000003</v>
      </c>
      <c r="H95" s="2">
        <f t="shared" si="9"/>
        <v>1999.62</v>
      </c>
      <c r="I95" s="2">
        <f t="shared" si="10"/>
        <v>3999.24</v>
      </c>
      <c r="J95" s="2">
        <f t="shared" si="11"/>
        <v>1666.3500000000001</v>
      </c>
      <c r="K95" s="5">
        <f t="shared" si="12"/>
        <v>50990.31</v>
      </c>
      <c r="L95" s="5">
        <f t="shared" si="13"/>
        <v>45324.72</v>
      </c>
      <c r="M95" s="3">
        <v>893475625526</v>
      </c>
      <c r="N95" s="2" t="s">
        <v>71</v>
      </c>
    </row>
    <row r="96" spans="1:14" x14ac:dyDescent="0.3">
      <c r="A96" s="2" t="s">
        <v>215</v>
      </c>
      <c r="B96" s="2" t="s">
        <v>216</v>
      </c>
      <c r="C96" s="2" t="s">
        <v>34</v>
      </c>
      <c r="D96" s="2" t="s">
        <v>108</v>
      </c>
      <c r="E96" s="2">
        <v>62190</v>
      </c>
      <c r="F96" s="2">
        <f t="shared" si="7"/>
        <v>12438</v>
      </c>
      <c r="G96" s="2">
        <f t="shared" si="8"/>
        <v>6219</v>
      </c>
      <c r="H96" s="2">
        <f t="shared" si="9"/>
        <v>3731.3999999999996</v>
      </c>
      <c r="I96" s="2">
        <f t="shared" si="10"/>
        <v>7462.7999999999993</v>
      </c>
      <c r="J96" s="2">
        <f t="shared" si="11"/>
        <v>3109.5</v>
      </c>
      <c r="K96" s="5">
        <f t="shared" si="12"/>
        <v>95150.7</v>
      </c>
      <c r="L96" s="5">
        <f t="shared" si="13"/>
        <v>84578.4</v>
      </c>
      <c r="M96" s="3">
        <v>893475627658</v>
      </c>
      <c r="N96" s="2" t="s">
        <v>28</v>
      </c>
    </row>
    <row r="97" spans="1:14" x14ac:dyDescent="0.3">
      <c r="A97" s="2" t="s">
        <v>217</v>
      </c>
      <c r="B97" s="2" t="s">
        <v>55</v>
      </c>
      <c r="C97" s="2" t="s">
        <v>62</v>
      </c>
      <c r="D97" s="2" t="s">
        <v>137</v>
      </c>
      <c r="E97" s="2">
        <v>66965</v>
      </c>
      <c r="F97" s="2">
        <f t="shared" si="7"/>
        <v>13393</v>
      </c>
      <c r="G97" s="2">
        <f t="shared" si="8"/>
        <v>6696.5</v>
      </c>
      <c r="H97" s="2">
        <f t="shared" si="9"/>
        <v>4017.8999999999996</v>
      </c>
      <c r="I97" s="2">
        <f t="shared" si="10"/>
        <v>8035.7999999999993</v>
      </c>
      <c r="J97" s="2">
        <f t="shared" si="11"/>
        <v>3348.25</v>
      </c>
      <c r="K97" s="5">
        <f t="shared" si="12"/>
        <v>102456.45</v>
      </c>
      <c r="L97" s="5">
        <f t="shared" si="13"/>
        <v>91072.4</v>
      </c>
      <c r="M97" s="3">
        <v>893475621282</v>
      </c>
      <c r="N97" s="2" t="s">
        <v>36</v>
      </c>
    </row>
    <row r="98" spans="1:14" x14ac:dyDescent="0.3">
      <c r="A98" s="2" t="s">
        <v>218</v>
      </c>
      <c r="B98" s="2" t="s">
        <v>83</v>
      </c>
      <c r="C98" s="2" t="s">
        <v>21</v>
      </c>
      <c r="D98" s="2" t="s">
        <v>22</v>
      </c>
      <c r="E98" s="2">
        <v>58513</v>
      </c>
      <c r="F98" s="2">
        <f t="shared" si="7"/>
        <v>11702.6</v>
      </c>
      <c r="G98" s="2">
        <f t="shared" si="8"/>
        <v>5851.3</v>
      </c>
      <c r="H98" s="2">
        <f t="shared" si="9"/>
        <v>3510.7799999999997</v>
      </c>
      <c r="I98" s="2">
        <f t="shared" si="10"/>
        <v>7021.5599999999995</v>
      </c>
      <c r="J98" s="2">
        <f t="shared" si="11"/>
        <v>2925.65</v>
      </c>
      <c r="K98" s="5">
        <f t="shared" si="12"/>
        <v>89524.89</v>
      </c>
      <c r="L98" s="5">
        <f t="shared" si="13"/>
        <v>79577.679999999993</v>
      </c>
      <c r="M98" s="3">
        <v>893475627046</v>
      </c>
      <c r="N98" s="2" t="s">
        <v>28</v>
      </c>
    </row>
    <row r="99" spans="1:14" x14ac:dyDescent="0.3">
      <c r="A99" s="2" t="s">
        <v>219</v>
      </c>
      <c r="B99" s="2" t="s">
        <v>65</v>
      </c>
      <c r="C99" s="2" t="s">
        <v>48</v>
      </c>
      <c r="D99" s="2" t="s">
        <v>49</v>
      </c>
      <c r="E99" s="2">
        <v>36678</v>
      </c>
      <c r="F99" s="2">
        <f t="shared" si="7"/>
        <v>7335.6</v>
      </c>
      <c r="G99" s="2">
        <f t="shared" si="8"/>
        <v>3667.8</v>
      </c>
      <c r="H99" s="2">
        <f t="shared" si="9"/>
        <v>2200.6799999999998</v>
      </c>
      <c r="I99" s="2">
        <f t="shared" si="10"/>
        <v>4401.3599999999997</v>
      </c>
      <c r="J99" s="2">
        <f t="shared" si="11"/>
        <v>1833.9</v>
      </c>
      <c r="K99" s="5">
        <f t="shared" si="12"/>
        <v>56117.340000000004</v>
      </c>
      <c r="L99" s="5">
        <f t="shared" si="13"/>
        <v>49882.080000000002</v>
      </c>
      <c r="M99" s="3">
        <v>893475626764</v>
      </c>
      <c r="N99" s="2" t="s">
        <v>18</v>
      </c>
    </row>
    <row r="100" spans="1:14" x14ac:dyDescent="0.3">
      <c r="A100" s="2" t="s">
        <v>220</v>
      </c>
      <c r="B100" s="2" t="s">
        <v>113</v>
      </c>
      <c r="C100" s="2" t="s">
        <v>16</v>
      </c>
      <c r="D100" s="2" t="s">
        <v>41</v>
      </c>
      <c r="E100" s="2">
        <v>22907</v>
      </c>
      <c r="F100" s="2">
        <f t="shared" si="7"/>
        <v>4581.4000000000005</v>
      </c>
      <c r="G100" s="2">
        <f t="shared" si="8"/>
        <v>2290.7000000000003</v>
      </c>
      <c r="H100" s="2">
        <f t="shared" si="9"/>
        <v>1374.4199999999998</v>
      </c>
      <c r="I100" s="2">
        <f t="shared" si="10"/>
        <v>2748.8399999999997</v>
      </c>
      <c r="J100" s="2">
        <f t="shared" si="11"/>
        <v>1145.3500000000001</v>
      </c>
      <c r="K100" s="5">
        <f t="shared" si="12"/>
        <v>35047.71</v>
      </c>
      <c r="L100" s="5">
        <f t="shared" si="13"/>
        <v>31153.52</v>
      </c>
      <c r="M100" s="3">
        <v>893475624155</v>
      </c>
      <c r="N100" s="2" t="s">
        <v>31</v>
      </c>
    </row>
    <row r="101" spans="1:14" x14ac:dyDescent="0.3">
      <c r="A101" s="2" t="s">
        <v>221</v>
      </c>
      <c r="B101" s="2" t="s">
        <v>222</v>
      </c>
      <c r="C101" s="2" t="s">
        <v>52</v>
      </c>
      <c r="D101" s="2" t="s">
        <v>53</v>
      </c>
      <c r="E101" s="2">
        <v>63405</v>
      </c>
      <c r="F101" s="2">
        <f t="shared" si="7"/>
        <v>12681</v>
      </c>
      <c r="G101" s="2">
        <f t="shared" si="8"/>
        <v>6340.5</v>
      </c>
      <c r="H101" s="2">
        <f t="shared" si="9"/>
        <v>3804.2999999999997</v>
      </c>
      <c r="I101" s="2">
        <f t="shared" si="10"/>
        <v>7608.5999999999995</v>
      </c>
      <c r="J101" s="2">
        <f t="shared" si="11"/>
        <v>3170.25</v>
      </c>
      <c r="K101" s="5">
        <f t="shared" si="12"/>
        <v>97009.650000000009</v>
      </c>
      <c r="L101" s="5">
        <f t="shared" si="13"/>
        <v>86230.800000000017</v>
      </c>
      <c r="M101" s="3">
        <v>893475628933</v>
      </c>
      <c r="N101" s="2" t="s">
        <v>31</v>
      </c>
    </row>
    <row r="102" spans="1:14" x14ac:dyDescent="0.3">
      <c r="A102" s="2" t="s">
        <v>223</v>
      </c>
      <c r="B102" s="2" t="s">
        <v>224</v>
      </c>
      <c r="C102" s="2" t="s">
        <v>16</v>
      </c>
      <c r="D102" s="2" t="s">
        <v>17</v>
      </c>
      <c r="E102" s="2">
        <v>34414</v>
      </c>
      <c r="F102" s="2">
        <f t="shared" si="7"/>
        <v>6882.8</v>
      </c>
      <c r="G102" s="2">
        <f t="shared" si="8"/>
        <v>3441.4</v>
      </c>
      <c r="H102" s="2">
        <f t="shared" si="9"/>
        <v>2064.84</v>
      </c>
      <c r="I102" s="2">
        <f t="shared" si="10"/>
        <v>4129.68</v>
      </c>
      <c r="J102" s="2">
        <f t="shared" si="11"/>
        <v>1720.7</v>
      </c>
      <c r="K102" s="5">
        <f t="shared" si="12"/>
        <v>52653.420000000006</v>
      </c>
      <c r="L102" s="5">
        <f t="shared" si="13"/>
        <v>46803.040000000008</v>
      </c>
      <c r="M102" s="3">
        <v>893475624727</v>
      </c>
      <c r="N102" s="2" t="s">
        <v>31</v>
      </c>
    </row>
    <row r="103" spans="1:14" x14ac:dyDescent="0.3">
      <c r="A103" s="2" t="s">
        <v>225</v>
      </c>
      <c r="B103" s="2" t="s">
        <v>226</v>
      </c>
      <c r="C103" s="2" t="s">
        <v>26</v>
      </c>
      <c r="D103" s="2" t="s">
        <v>27</v>
      </c>
      <c r="E103" s="2">
        <v>17982</v>
      </c>
      <c r="F103" s="2">
        <f t="shared" si="7"/>
        <v>3596.4</v>
      </c>
      <c r="G103" s="2">
        <f t="shared" si="8"/>
        <v>1798.2</v>
      </c>
      <c r="H103" s="2">
        <f t="shared" si="9"/>
        <v>1078.92</v>
      </c>
      <c r="I103" s="2">
        <f t="shared" si="10"/>
        <v>2157.84</v>
      </c>
      <c r="J103" s="2">
        <f t="shared" si="11"/>
        <v>899.1</v>
      </c>
      <c r="K103" s="5">
        <f t="shared" si="12"/>
        <v>27512.460000000003</v>
      </c>
      <c r="L103" s="5">
        <f t="shared" si="13"/>
        <v>24455.520000000004</v>
      </c>
      <c r="M103" s="3">
        <v>893475621893</v>
      </c>
      <c r="N103" s="2" t="s">
        <v>71</v>
      </c>
    </row>
    <row r="104" spans="1:14" x14ac:dyDescent="0.3">
      <c r="A104" s="2" t="s">
        <v>227</v>
      </c>
      <c r="B104" s="2" t="s">
        <v>228</v>
      </c>
      <c r="C104" s="2" t="s">
        <v>62</v>
      </c>
      <c r="D104" s="2" t="s">
        <v>63</v>
      </c>
      <c r="E104" s="2">
        <v>52621</v>
      </c>
      <c r="F104" s="2">
        <f t="shared" si="7"/>
        <v>10524.2</v>
      </c>
      <c r="G104" s="2">
        <f t="shared" si="8"/>
        <v>5262.1</v>
      </c>
      <c r="H104" s="2">
        <f t="shared" si="9"/>
        <v>3157.2599999999998</v>
      </c>
      <c r="I104" s="2">
        <f t="shared" si="10"/>
        <v>6314.5199999999995</v>
      </c>
      <c r="J104" s="2">
        <f t="shared" si="11"/>
        <v>2631.05</v>
      </c>
      <c r="K104" s="5">
        <f t="shared" si="12"/>
        <v>80510.13</v>
      </c>
      <c r="L104" s="5">
        <f t="shared" si="13"/>
        <v>71564.56</v>
      </c>
      <c r="M104" s="3">
        <v>893475625658</v>
      </c>
      <c r="N104" s="2" t="s">
        <v>28</v>
      </c>
    </row>
    <row r="105" spans="1:14" x14ac:dyDescent="0.3">
      <c r="A105" s="2" t="s">
        <v>229</v>
      </c>
      <c r="B105" s="2" t="s">
        <v>230</v>
      </c>
      <c r="C105" s="2" t="s">
        <v>48</v>
      </c>
      <c r="D105" s="2" t="s">
        <v>56</v>
      </c>
      <c r="E105" s="2">
        <v>31546</v>
      </c>
      <c r="F105" s="2">
        <f t="shared" si="7"/>
        <v>6309.2000000000007</v>
      </c>
      <c r="G105" s="2">
        <f t="shared" si="8"/>
        <v>3154.6000000000004</v>
      </c>
      <c r="H105" s="2">
        <f t="shared" si="9"/>
        <v>1892.76</v>
      </c>
      <c r="I105" s="2">
        <f t="shared" si="10"/>
        <v>3785.52</v>
      </c>
      <c r="J105" s="2">
        <f t="shared" si="11"/>
        <v>1577.3000000000002</v>
      </c>
      <c r="K105" s="5">
        <f t="shared" si="12"/>
        <v>48265.38</v>
      </c>
      <c r="L105" s="5">
        <f t="shared" si="13"/>
        <v>42902.559999999998</v>
      </c>
      <c r="M105" s="3">
        <v>893475628827</v>
      </c>
      <c r="N105" s="2" t="s">
        <v>36</v>
      </c>
    </row>
    <row r="106" spans="1:14" x14ac:dyDescent="0.3">
      <c r="A106" s="2" t="s">
        <v>231</v>
      </c>
      <c r="B106" s="2" t="s">
        <v>122</v>
      </c>
      <c r="C106" s="2" t="s">
        <v>62</v>
      </c>
      <c r="D106" s="2" t="s">
        <v>63</v>
      </c>
      <c r="E106" s="2">
        <v>56251</v>
      </c>
      <c r="F106" s="2">
        <f t="shared" si="7"/>
        <v>11250.2</v>
      </c>
      <c r="G106" s="2">
        <f t="shared" si="8"/>
        <v>5625.1</v>
      </c>
      <c r="H106" s="2">
        <f t="shared" si="9"/>
        <v>3375.06</v>
      </c>
      <c r="I106" s="2">
        <f t="shared" si="10"/>
        <v>6750.12</v>
      </c>
      <c r="J106" s="2">
        <f t="shared" si="11"/>
        <v>2812.55</v>
      </c>
      <c r="K106" s="5">
        <f t="shared" si="12"/>
        <v>86064.03</v>
      </c>
      <c r="L106" s="5">
        <f t="shared" si="13"/>
        <v>76501.36</v>
      </c>
      <c r="M106" s="3">
        <v>893475621878</v>
      </c>
      <c r="N106" s="2" t="s">
        <v>23</v>
      </c>
    </row>
    <row r="107" spans="1:14" x14ac:dyDescent="0.3">
      <c r="A107" s="2" t="s">
        <v>232</v>
      </c>
      <c r="B107" s="2" t="s">
        <v>96</v>
      </c>
      <c r="C107" s="2" t="s">
        <v>16</v>
      </c>
      <c r="D107" s="2" t="s">
        <v>17</v>
      </c>
      <c r="E107" s="2">
        <v>22762</v>
      </c>
      <c r="F107" s="2">
        <f t="shared" si="7"/>
        <v>4552.4000000000005</v>
      </c>
      <c r="G107" s="2">
        <f t="shared" si="8"/>
        <v>2276.2000000000003</v>
      </c>
      <c r="H107" s="2">
        <f t="shared" si="9"/>
        <v>1365.72</v>
      </c>
      <c r="I107" s="2">
        <f t="shared" si="10"/>
        <v>2731.44</v>
      </c>
      <c r="J107" s="2">
        <f t="shared" si="11"/>
        <v>1138.1000000000001</v>
      </c>
      <c r="K107" s="5">
        <f t="shared" si="12"/>
        <v>34825.86</v>
      </c>
      <c r="L107" s="5">
        <f t="shared" si="13"/>
        <v>30956.32</v>
      </c>
      <c r="M107" s="3">
        <v>893475627818</v>
      </c>
      <c r="N107" s="2" t="s">
        <v>71</v>
      </c>
    </row>
    <row r="108" spans="1:14" x14ac:dyDescent="0.3">
      <c r="A108" s="2" t="s">
        <v>233</v>
      </c>
      <c r="B108" s="2" t="s">
        <v>234</v>
      </c>
      <c r="C108" s="2" t="s">
        <v>34</v>
      </c>
      <c r="D108" s="2" t="s">
        <v>35</v>
      </c>
      <c r="E108" s="2">
        <v>74539</v>
      </c>
      <c r="F108" s="2">
        <f t="shared" si="7"/>
        <v>14907.800000000001</v>
      </c>
      <c r="G108" s="2">
        <f t="shared" si="8"/>
        <v>7453.9000000000005</v>
      </c>
      <c r="H108" s="2">
        <f t="shared" si="9"/>
        <v>4472.34</v>
      </c>
      <c r="I108" s="2">
        <f t="shared" si="10"/>
        <v>8944.68</v>
      </c>
      <c r="J108" s="2">
        <f t="shared" si="11"/>
        <v>3726.9500000000003</v>
      </c>
      <c r="K108" s="5">
        <f t="shared" si="12"/>
        <v>114044.67</v>
      </c>
      <c r="L108" s="5">
        <f t="shared" si="13"/>
        <v>101373.04</v>
      </c>
      <c r="M108" s="3">
        <v>893475628253</v>
      </c>
      <c r="N108" s="2" t="s">
        <v>31</v>
      </c>
    </row>
    <row r="109" spans="1:14" x14ac:dyDescent="0.3">
      <c r="A109" s="2" t="s">
        <v>235</v>
      </c>
      <c r="B109" s="2" t="s">
        <v>201</v>
      </c>
      <c r="C109" s="2" t="s">
        <v>16</v>
      </c>
      <c r="D109" s="2" t="s">
        <v>17</v>
      </c>
      <c r="E109" s="2">
        <v>77921</v>
      </c>
      <c r="F109" s="2">
        <f t="shared" si="7"/>
        <v>15584.2</v>
      </c>
      <c r="G109" s="2">
        <f t="shared" si="8"/>
        <v>7792.1</v>
      </c>
      <c r="H109" s="2">
        <f t="shared" si="9"/>
        <v>4675.26</v>
      </c>
      <c r="I109" s="2">
        <f t="shared" si="10"/>
        <v>9350.52</v>
      </c>
      <c r="J109" s="2">
        <f t="shared" si="11"/>
        <v>3896.05</v>
      </c>
      <c r="K109" s="5">
        <f t="shared" si="12"/>
        <v>119219.13</v>
      </c>
      <c r="L109" s="5">
        <f t="shared" si="13"/>
        <v>105972.56</v>
      </c>
      <c r="M109" s="3">
        <v>893475622625</v>
      </c>
      <c r="N109" s="2" t="s">
        <v>57</v>
      </c>
    </row>
    <row r="110" spans="1:14" x14ac:dyDescent="0.3">
      <c r="A110" s="2" t="s">
        <v>236</v>
      </c>
      <c r="B110" s="2" t="s">
        <v>104</v>
      </c>
      <c r="C110" s="2" t="s">
        <v>16</v>
      </c>
      <c r="D110" s="2" t="s">
        <v>17</v>
      </c>
      <c r="E110" s="2">
        <v>30719</v>
      </c>
      <c r="F110" s="2">
        <f t="shared" si="7"/>
        <v>6143.8</v>
      </c>
      <c r="G110" s="2">
        <f t="shared" si="8"/>
        <v>3071.9</v>
      </c>
      <c r="H110" s="2">
        <f t="shared" si="9"/>
        <v>1843.1399999999999</v>
      </c>
      <c r="I110" s="2">
        <f t="shared" si="10"/>
        <v>3686.2799999999997</v>
      </c>
      <c r="J110" s="2">
        <f t="shared" si="11"/>
        <v>1535.95</v>
      </c>
      <c r="K110" s="5">
        <f t="shared" si="12"/>
        <v>47000.07</v>
      </c>
      <c r="L110" s="5">
        <f t="shared" si="13"/>
        <v>41777.839999999997</v>
      </c>
      <c r="M110" s="3">
        <v>893475623847</v>
      </c>
      <c r="N110" s="2" t="s">
        <v>71</v>
      </c>
    </row>
    <row r="111" spans="1:14" x14ac:dyDescent="0.3">
      <c r="A111" s="2" t="s">
        <v>237</v>
      </c>
      <c r="B111" s="2" t="s">
        <v>238</v>
      </c>
      <c r="C111" s="2" t="s">
        <v>26</v>
      </c>
      <c r="D111" s="2" t="s">
        <v>102</v>
      </c>
      <c r="E111" s="2">
        <v>60178</v>
      </c>
      <c r="F111" s="2">
        <f t="shared" si="7"/>
        <v>12035.6</v>
      </c>
      <c r="G111" s="2">
        <f t="shared" si="8"/>
        <v>6017.8</v>
      </c>
      <c r="H111" s="2">
        <f t="shared" si="9"/>
        <v>3610.68</v>
      </c>
      <c r="I111" s="2">
        <f t="shared" si="10"/>
        <v>7221.36</v>
      </c>
      <c r="J111" s="2">
        <f t="shared" si="11"/>
        <v>3008.9</v>
      </c>
      <c r="K111" s="5">
        <f t="shared" si="12"/>
        <v>92072.34</v>
      </c>
      <c r="L111" s="5">
        <f t="shared" si="13"/>
        <v>81842.080000000002</v>
      </c>
      <c r="M111" s="3">
        <v>893475628699</v>
      </c>
      <c r="N111" s="2" t="s">
        <v>31</v>
      </c>
    </row>
    <row r="112" spans="1:14" x14ac:dyDescent="0.3">
      <c r="A112" s="2" t="s">
        <v>239</v>
      </c>
      <c r="B112" s="2" t="s">
        <v>240</v>
      </c>
      <c r="C112" s="2" t="s">
        <v>16</v>
      </c>
      <c r="D112" s="2" t="s">
        <v>41</v>
      </c>
      <c r="E112" s="2">
        <v>71335</v>
      </c>
      <c r="F112" s="2">
        <f t="shared" si="7"/>
        <v>14267</v>
      </c>
      <c r="G112" s="2">
        <f t="shared" si="8"/>
        <v>7133.5</v>
      </c>
      <c r="H112" s="2">
        <f t="shared" si="9"/>
        <v>4280.0999999999995</v>
      </c>
      <c r="I112" s="2">
        <f t="shared" si="10"/>
        <v>8560.1999999999989</v>
      </c>
      <c r="J112" s="2">
        <f t="shared" si="11"/>
        <v>3566.75</v>
      </c>
      <c r="K112" s="5">
        <f t="shared" si="12"/>
        <v>109142.55</v>
      </c>
      <c r="L112" s="5">
        <f t="shared" si="13"/>
        <v>97015.6</v>
      </c>
      <c r="M112" s="3">
        <v>893475628438</v>
      </c>
      <c r="N112" s="2" t="s">
        <v>36</v>
      </c>
    </row>
    <row r="113" spans="1:14" x14ac:dyDescent="0.3">
      <c r="A113" s="2" t="s">
        <v>241</v>
      </c>
      <c r="B113" s="2" t="s">
        <v>43</v>
      </c>
      <c r="C113" s="2" t="s">
        <v>34</v>
      </c>
      <c r="D113" s="2" t="s">
        <v>35</v>
      </c>
      <c r="E113" s="2">
        <v>50688</v>
      </c>
      <c r="F113" s="2">
        <f t="shared" si="7"/>
        <v>10137.6</v>
      </c>
      <c r="G113" s="2">
        <f t="shared" si="8"/>
        <v>5068.8</v>
      </c>
      <c r="H113" s="2">
        <f t="shared" si="9"/>
        <v>3041.2799999999997</v>
      </c>
      <c r="I113" s="2">
        <f t="shared" si="10"/>
        <v>6082.5599999999995</v>
      </c>
      <c r="J113" s="2">
        <f t="shared" si="11"/>
        <v>2534.4</v>
      </c>
      <c r="K113" s="5">
        <f t="shared" si="12"/>
        <v>77552.639999999985</v>
      </c>
      <c r="L113" s="5">
        <f t="shared" si="13"/>
        <v>68935.679999999993</v>
      </c>
      <c r="M113" s="3">
        <v>893475624683</v>
      </c>
      <c r="N113" s="2" t="s">
        <v>18</v>
      </c>
    </row>
    <row r="114" spans="1:14" x14ac:dyDescent="0.3">
      <c r="A114" s="2" t="s">
        <v>242</v>
      </c>
      <c r="B114" s="2" t="s">
        <v>243</v>
      </c>
      <c r="C114" s="2" t="s">
        <v>52</v>
      </c>
      <c r="D114" s="2" t="s">
        <v>53</v>
      </c>
      <c r="E114" s="2">
        <v>25873</v>
      </c>
      <c r="F114" s="2">
        <f t="shared" si="7"/>
        <v>5174.6000000000004</v>
      </c>
      <c r="G114" s="2">
        <f t="shared" si="8"/>
        <v>2587.3000000000002</v>
      </c>
      <c r="H114" s="2">
        <f t="shared" si="9"/>
        <v>1552.3799999999999</v>
      </c>
      <c r="I114" s="2">
        <f t="shared" si="10"/>
        <v>3104.7599999999998</v>
      </c>
      <c r="J114" s="2">
        <f t="shared" si="11"/>
        <v>1293.6500000000001</v>
      </c>
      <c r="K114" s="5">
        <f t="shared" si="12"/>
        <v>39585.69</v>
      </c>
      <c r="L114" s="5">
        <f t="shared" si="13"/>
        <v>35187.279999999999</v>
      </c>
      <c r="M114" s="3">
        <v>893475626039</v>
      </c>
      <c r="N114" s="2" t="s">
        <v>71</v>
      </c>
    </row>
    <row r="115" spans="1:14" x14ac:dyDescent="0.3">
      <c r="A115" s="2" t="s">
        <v>244</v>
      </c>
      <c r="B115" s="2" t="s">
        <v>245</v>
      </c>
      <c r="C115" s="2" t="s">
        <v>62</v>
      </c>
      <c r="D115" s="2" t="s">
        <v>63</v>
      </c>
      <c r="E115" s="2">
        <v>60133</v>
      </c>
      <c r="F115" s="2">
        <f t="shared" si="7"/>
        <v>12026.6</v>
      </c>
      <c r="G115" s="2">
        <f t="shared" si="8"/>
        <v>6013.3</v>
      </c>
      <c r="H115" s="2">
        <f t="shared" si="9"/>
        <v>3607.98</v>
      </c>
      <c r="I115" s="2">
        <f t="shared" si="10"/>
        <v>7215.96</v>
      </c>
      <c r="J115" s="2">
        <f t="shared" si="11"/>
        <v>3006.65</v>
      </c>
      <c r="K115" s="5">
        <f t="shared" si="12"/>
        <v>92003.49</v>
      </c>
      <c r="L115" s="5">
        <f t="shared" si="13"/>
        <v>81780.88</v>
      </c>
      <c r="M115" s="3">
        <v>893475625982</v>
      </c>
      <c r="N115" s="2" t="s">
        <v>18</v>
      </c>
    </row>
    <row r="116" spans="1:14" x14ac:dyDescent="0.3">
      <c r="A116" s="2" t="s">
        <v>246</v>
      </c>
      <c r="B116" s="2" t="s">
        <v>247</v>
      </c>
      <c r="C116" s="2" t="s">
        <v>62</v>
      </c>
      <c r="D116" s="2" t="s">
        <v>137</v>
      </c>
      <c r="E116" s="2">
        <v>54192</v>
      </c>
      <c r="F116" s="2">
        <f t="shared" si="7"/>
        <v>10838.400000000001</v>
      </c>
      <c r="G116" s="2">
        <f t="shared" si="8"/>
        <v>5419.2000000000007</v>
      </c>
      <c r="H116" s="2">
        <f t="shared" si="9"/>
        <v>3251.52</v>
      </c>
      <c r="I116" s="2">
        <f t="shared" si="10"/>
        <v>6503.04</v>
      </c>
      <c r="J116" s="2">
        <f t="shared" si="11"/>
        <v>2709.6000000000004</v>
      </c>
      <c r="K116" s="5">
        <f t="shared" si="12"/>
        <v>82913.760000000009</v>
      </c>
      <c r="L116" s="5">
        <f t="shared" si="13"/>
        <v>73701.12000000001</v>
      </c>
      <c r="M116" s="3">
        <v>893475621653</v>
      </c>
      <c r="N116" s="2" t="s">
        <v>28</v>
      </c>
    </row>
    <row r="117" spans="1:14" x14ac:dyDescent="0.3">
      <c r="A117" s="2" t="s">
        <v>248</v>
      </c>
      <c r="B117" s="2" t="s">
        <v>249</v>
      </c>
      <c r="C117" s="2" t="s">
        <v>16</v>
      </c>
      <c r="D117" s="2" t="s">
        <v>17</v>
      </c>
      <c r="E117" s="2">
        <v>30002</v>
      </c>
      <c r="F117" s="2">
        <f t="shared" si="7"/>
        <v>6000.4000000000005</v>
      </c>
      <c r="G117" s="2">
        <f t="shared" si="8"/>
        <v>3000.2000000000003</v>
      </c>
      <c r="H117" s="2">
        <f t="shared" si="9"/>
        <v>1800.12</v>
      </c>
      <c r="I117" s="2">
        <f t="shared" si="10"/>
        <v>3600.24</v>
      </c>
      <c r="J117" s="2">
        <f t="shared" si="11"/>
        <v>1500.1000000000001</v>
      </c>
      <c r="K117" s="5">
        <f t="shared" si="12"/>
        <v>45903.06</v>
      </c>
      <c r="L117" s="5">
        <f t="shared" si="13"/>
        <v>40802.720000000001</v>
      </c>
      <c r="M117" s="3">
        <v>893475621339</v>
      </c>
      <c r="N117" s="2" t="s">
        <v>57</v>
      </c>
    </row>
    <row r="118" spans="1:14" x14ac:dyDescent="0.3">
      <c r="A118" s="2" t="s">
        <v>250</v>
      </c>
      <c r="B118" s="2" t="s">
        <v>209</v>
      </c>
      <c r="C118" s="2" t="s">
        <v>26</v>
      </c>
      <c r="D118" s="2" t="s">
        <v>27</v>
      </c>
      <c r="E118" s="2">
        <v>49010</v>
      </c>
      <c r="F118" s="2">
        <f t="shared" si="7"/>
        <v>9802</v>
      </c>
      <c r="G118" s="2">
        <f t="shared" si="8"/>
        <v>4901</v>
      </c>
      <c r="H118" s="2">
        <f t="shared" si="9"/>
        <v>2940.6</v>
      </c>
      <c r="I118" s="2">
        <f t="shared" si="10"/>
        <v>5881.2</v>
      </c>
      <c r="J118" s="2">
        <f t="shared" si="11"/>
        <v>2450.5</v>
      </c>
      <c r="K118" s="5">
        <f t="shared" si="12"/>
        <v>74985.3</v>
      </c>
      <c r="L118" s="5">
        <f t="shared" si="13"/>
        <v>66653.600000000006</v>
      </c>
      <c r="M118" s="3">
        <v>893475628245</v>
      </c>
      <c r="N118" s="2" t="s">
        <v>31</v>
      </c>
    </row>
    <row r="119" spans="1:14" x14ac:dyDescent="0.3">
      <c r="A119" s="2" t="s">
        <v>251</v>
      </c>
      <c r="B119" s="2" t="s">
        <v>163</v>
      </c>
      <c r="C119" s="2" t="s">
        <v>21</v>
      </c>
      <c r="D119" s="2" t="s">
        <v>99</v>
      </c>
      <c r="E119" s="2">
        <v>45802</v>
      </c>
      <c r="F119" s="2">
        <f t="shared" si="7"/>
        <v>9160.4</v>
      </c>
      <c r="G119" s="2">
        <f t="shared" si="8"/>
        <v>4580.2</v>
      </c>
      <c r="H119" s="2">
        <f t="shared" si="9"/>
        <v>2748.12</v>
      </c>
      <c r="I119" s="2">
        <f t="shared" si="10"/>
        <v>5496.24</v>
      </c>
      <c r="J119" s="2">
        <f t="shared" si="11"/>
        <v>2290.1</v>
      </c>
      <c r="K119" s="5">
        <f t="shared" si="12"/>
        <v>70077.060000000012</v>
      </c>
      <c r="L119" s="5">
        <f t="shared" si="13"/>
        <v>62290.720000000016</v>
      </c>
      <c r="M119" s="3">
        <v>893475626700</v>
      </c>
      <c r="N119" s="2" t="s">
        <v>28</v>
      </c>
    </row>
    <row r="120" spans="1:14" x14ac:dyDescent="0.3">
      <c r="A120" s="2" t="s">
        <v>252</v>
      </c>
      <c r="B120" s="2" t="s">
        <v>253</v>
      </c>
      <c r="C120" s="2" t="s">
        <v>44</v>
      </c>
      <c r="D120" s="2" t="s">
        <v>45</v>
      </c>
      <c r="E120" s="2">
        <v>41977</v>
      </c>
      <c r="F120" s="2">
        <f t="shared" si="7"/>
        <v>8395.4</v>
      </c>
      <c r="G120" s="2">
        <f t="shared" si="8"/>
        <v>4197.7</v>
      </c>
      <c r="H120" s="2">
        <f t="shared" si="9"/>
        <v>2518.62</v>
      </c>
      <c r="I120" s="2">
        <f t="shared" si="10"/>
        <v>5037.24</v>
      </c>
      <c r="J120" s="2">
        <f t="shared" si="11"/>
        <v>2098.85</v>
      </c>
      <c r="K120" s="5">
        <f t="shared" si="12"/>
        <v>64224.81</v>
      </c>
      <c r="L120" s="5">
        <f t="shared" si="13"/>
        <v>57088.72</v>
      </c>
      <c r="M120" s="3">
        <v>893475629117</v>
      </c>
      <c r="N120" s="2" t="s">
        <v>31</v>
      </c>
    </row>
    <row r="121" spans="1:14" x14ac:dyDescent="0.3">
      <c r="A121" s="2" t="s">
        <v>254</v>
      </c>
      <c r="B121" s="2" t="s">
        <v>255</v>
      </c>
      <c r="C121" s="2" t="s">
        <v>26</v>
      </c>
      <c r="D121" s="2" t="s">
        <v>102</v>
      </c>
      <c r="E121" s="2">
        <v>35612</v>
      </c>
      <c r="F121" s="2">
        <f t="shared" si="7"/>
        <v>7122.4000000000005</v>
      </c>
      <c r="G121" s="2">
        <f t="shared" si="8"/>
        <v>3561.2000000000003</v>
      </c>
      <c r="H121" s="2">
        <f t="shared" si="9"/>
        <v>2136.7199999999998</v>
      </c>
      <c r="I121" s="2">
        <f t="shared" si="10"/>
        <v>4273.4399999999996</v>
      </c>
      <c r="J121" s="2">
        <f t="shared" si="11"/>
        <v>1780.6000000000001</v>
      </c>
      <c r="K121" s="5">
        <f t="shared" si="12"/>
        <v>54486.36</v>
      </c>
      <c r="L121" s="5">
        <f t="shared" si="13"/>
        <v>48432.32</v>
      </c>
      <c r="M121" s="3">
        <v>893475625135</v>
      </c>
      <c r="N121" s="2" t="s">
        <v>31</v>
      </c>
    </row>
    <row r="122" spans="1:14" x14ac:dyDescent="0.3">
      <c r="A122" s="2" t="s">
        <v>256</v>
      </c>
      <c r="B122" s="2" t="s">
        <v>257</v>
      </c>
      <c r="C122" s="2" t="s">
        <v>26</v>
      </c>
      <c r="D122" s="2" t="s">
        <v>102</v>
      </c>
      <c r="E122" s="2">
        <v>18552</v>
      </c>
      <c r="F122" s="2">
        <f t="shared" si="7"/>
        <v>3710.4</v>
      </c>
      <c r="G122" s="2">
        <f t="shared" si="8"/>
        <v>1855.2</v>
      </c>
      <c r="H122" s="2">
        <f t="shared" si="9"/>
        <v>1113.1199999999999</v>
      </c>
      <c r="I122" s="2">
        <f t="shared" si="10"/>
        <v>2226.2399999999998</v>
      </c>
      <c r="J122" s="2">
        <f t="shared" si="11"/>
        <v>927.6</v>
      </c>
      <c r="K122" s="5">
        <f t="shared" si="12"/>
        <v>28384.559999999998</v>
      </c>
      <c r="L122" s="5">
        <f t="shared" si="13"/>
        <v>25230.719999999998</v>
      </c>
      <c r="M122" s="3">
        <v>893475624073</v>
      </c>
      <c r="N122" s="2" t="s">
        <v>71</v>
      </c>
    </row>
    <row r="123" spans="1:14" x14ac:dyDescent="0.3">
      <c r="A123" s="2" t="s">
        <v>258</v>
      </c>
      <c r="B123" s="2" t="s">
        <v>259</v>
      </c>
      <c r="C123" s="2" t="s">
        <v>62</v>
      </c>
      <c r="D123" s="2" t="s">
        <v>137</v>
      </c>
      <c r="E123" s="2">
        <v>28340</v>
      </c>
      <c r="F123" s="2">
        <f t="shared" si="7"/>
        <v>5668</v>
      </c>
      <c r="G123" s="2">
        <f t="shared" si="8"/>
        <v>2834</v>
      </c>
      <c r="H123" s="2">
        <f t="shared" si="9"/>
        <v>1700.3999999999999</v>
      </c>
      <c r="I123" s="2">
        <f t="shared" si="10"/>
        <v>3400.7999999999997</v>
      </c>
      <c r="J123" s="2">
        <f t="shared" si="11"/>
        <v>1417</v>
      </c>
      <c r="K123" s="5">
        <f t="shared" si="12"/>
        <v>43360.200000000004</v>
      </c>
      <c r="L123" s="5">
        <f t="shared" si="13"/>
        <v>38542.400000000009</v>
      </c>
      <c r="M123" s="3">
        <v>893475625375</v>
      </c>
      <c r="N123" s="2" t="s">
        <v>71</v>
      </c>
    </row>
    <row r="124" spans="1:14" x14ac:dyDescent="0.3">
      <c r="A124" s="2" t="s">
        <v>260</v>
      </c>
      <c r="B124" s="2" t="s">
        <v>243</v>
      </c>
      <c r="C124" s="2" t="s">
        <v>62</v>
      </c>
      <c r="D124" s="2" t="s">
        <v>137</v>
      </c>
      <c r="E124" s="2">
        <v>16891</v>
      </c>
      <c r="F124" s="2">
        <f t="shared" si="7"/>
        <v>3378.2000000000003</v>
      </c>
      <c r="G124" s="2">
        <f t="shared" si="8"/>
        <v>1689.1000000000001</v>
      </c>
      <c r="H124" s="2">
        <f t="shared" si="9"/>
        <v>1013.4599999999999</v>
      </c>
      <c r="I124" s="2">
        <f t="shared" si="10"/>
        <v>2026.9199999999998</v>
      </c>
      <c r="J124" s="2">
        <f t="shared" si="11"/>
        <v>844.55000000000007</v>
      </c>
      <c r="K124" s="5">
        <f t="shared" si="12"/>
        <v>25843.229999999996</v>
      </c>
      <c r="L124" s="5">
        <f t="shared" si="13"/>
        <v>22971.759999999995</v>
      </c>
      <c r="M124" s="3">
        <v>893475624920</v>
      </c>
      <c r="N124" s="2" t="s">
        <v>18</v>
      </c>
    </row>
    <row r="125" spans="1:14" x14ac:dyDescent="0.3">
      <c r="A125" s="2" t="s">
        <v>261</v>
      </c>
      <c r="B125" s="2" t="s">
        <v>226</v>
      </c>
      <c r="C125" s="2" t="s">
        <v>26</v>
      </c>
      <c r="D125" s="2" t="s">
        <v>102</v>
      </c>
      <c r="E125" s="2">
        <v>29725</v>
      </c>
      <c r="F125" s="2">
        <f t="shared" si="7"/>
        <v>5945</v>
      </c>
      <c r="G125" s="2">
        <f t="shared" si="8"/>
        <v>2972.5</v>
      </c>
      <c r="H125" s="2">
        <f t="shared" si="9"/>
        <v>1783.5</v>
      </c>
      <c r="I125" s="2">
        <f t="shared" si="10"/>
        <v>3567</v>
      </c>
      <c r="J125" s="2">
        <f t="shared" si="11"/>
        <v>1486.25</v>
      </c>
      <c r="K125" s="5">
        <f t="shared" si="12"/>
        <v>45479.25</v>
      </c>
      <c r="L125" s="5">
        <f t="shared" si="13"/>
        <v>40426</v>
      </c>
      <c r="M125" s="3">
        <v>893475622858</v>
      </c>
      <c r="N125" s="2" t="s">
        <v>28</v>
      </c>
    </row>
    <row r="126" spans="1:14" x14ac:dyDescent="0.3">
      <c r="A126" s="2" t="s">
        <v>262</v>
      </c>
      <c r="B126" s="2" t="s">
        <v>263</v>
      </c>
      <c r="C126" s="2" t="s">
        <v>62</v>
      </c>
      <c r="D126" s="2" t="s">
        <v>137</v>
      </c>
      <c r="E126" s="2">
        <v>61229</v>
      </c>
      <c r="F126" s="2">
        <f t="shared" si="7"/>
        <v>12245.800000000001</v>
      </c>
      <c r="G126" s="2">
        <f t="shared" si="8"/>
        <v>6122.9000000000005</v>
      </c>
      <c r="H126" s="2">
        <f t="shared" si="9"/>
        <v>3673.74</v>
      </c>
      <c r="I126" s="2">
        <f t="shared" si="10"/>
        <v>7347.48</v>
      </c>
      <c r="J126" s="2">
        <f t="shared" si="11"/>
        <v>3061.4500000000003</v>
      </c>
      <c r="K126" s="5">
        <f t="shared" si="12"/>
        <v>93680.37</v>
      </c>
      <c r="L126" s="5">
        <f t="shared" si="13"/>
        <v>83271.44</v>
      </c>
      <c r="M126" s="3">
        <v>893475625479</v>
      </c>
      <c r="N126" s="2" t="s">
        <v>28</v>
      </c>
    </row>
    <row r="127" spans="1:14" x14ac:dyDescent="0.3">
      <c r="A127" s="2" t="s">
        <v>264</v>
      </c>
      <c r="B127" s="2" t="s">
        <v>230</v>
      </c>
      <c r="C127" s="2" t="s">
        <v>34</v>
      </c>
      <c r="D127" s="2" t="s">
        <v>35</v>
      </c>
      <c r="E127" s="2">
        <v>24479</v>
      </c>
      <c r="F127" s="2">
        <f t="shared" si="7"/>
        <v>4895.8</v>
      </c>
      <c r="G127" s="2">
        <f t="shared" si="8"/>
        <v>2447.9</v>
      </c>
      <c r="H127" s="2">
        <f t="shared" si="9"/>
        <v>1468.74</v>
      </c>
      <c r="I127" s="2">
        <f t="shared" si="10"/>
        <v>2937.48</v>
      </c>
      <c r="J127" s="2">
        <f t="shared" si="11"/>
        <v>1223.95</v>
      </c>
      <c r="K127" s="5">
        <f t="shared" si="12"/>
        <v>37452.870000000003</v>
      </c>
      <c r="L127" s="5">
        <f t="shared" si="13"/>
        <v>33291.440000000002</v>
      </c>
      <c r="M127" s="3">
        <v>893475627284</v>
      </c>
      <c r="N127" s="2" t="s">
        <v>23</v>
      </c>
    </row>
    <row r="128" spans="1:14" x14ac:dyDescent="0.3">
      <c r="A128" s="2" t="s">
        <v>265</v>
      </c>
      <c r="B128" s="2" t="s">
        <v>156</v>
      </c>
      <c r="C128" s="2" t="s">
        <v>52</v>
      </c>
      <c r="D128" s="2" t="s">
        <v>53</v>
      </c>
      <c r="E128" s="2">
        <v>65638</v>
      </c>
      <c r="F128" s="2">
        <f t="shared" si="7"/>
        <v>13127.6</v>
      </c>
      <c r="G128" s="2">
        <f t="shared" si="8"/>
        <v>6563.8</v>
      </c>
      <c r="H128" s="2">
        <f t="shared" si="9"/>
        <v>3938.2799999999997</v>
      </c>
      <c r="I128" s="2">
        <f t="shared" si="10"/>
        <v>7876.5599999999995</v>
      </c>
      <c r="J128" s="2">
        <f t="shared" si="11"/>
        <v>3281.9</v>
      </c>
      <c r="K128" s="5">
        <f t="shared" si="12"/>
        <v>100426.14</v>
      </c>
      <c r="L128" s="5">
        <f t="shared" si="13"/>
        <v>89267.68</v>
      </c>
      <c r="M128" s="3">
        <v>893475627798</v>
      </c>
      <c r="N128" s="2" t="s">
        <v>31</v>
      </c>
    </row>
    <row r="129" spans="1:14" x14ac:dyDescent="0.3">
      <c r="A129" s="2" t="s">
        <v>266</v>
      </c>
      <c r="B129" s="2" t="s">
        <v>267</v>
      </c>
      <c r="C129" s="2" t="s">
        <v>26</v>
      </c>
      <c r="D129" s="2" t="s">
        <v>116</v>
      </c>
      <c r="E129" s="2">
        <v>34566</v>
      </c>
      <c r="F129" s="2">
        <f t="shared" si="7"/>
        <v>6913.2000000000007</v>
      </c>
      <c r="G129" s="2">
        <f t="shared" si="8"/>
        <v>3456.6000000000004</v>
      </c>
      <c r="H129" s="2">
        <f t="shared" si="9"/>
        <v>2073.96</v>
      </c>
      <c r="I129" s="2">
        <f t="shared" si="10"/>
        <v>4147.92</v>
      </c>
      <c r="J129" s="2">
        <f t="shared" si="11"/>
        <v>1728.3000000000002</v>
      </c>
      <c r="K129" s="5">
        <f t="shared" si="12"/>
        <v>52885.979999999996</v>
      </c>
      <c r="L129" s="5">
        <f t="shared" si="13"/>
        <v>47009.759999999995</v>
      </c>
      <c r="M129" s="3">
        <v>893475629022</v>
      </c>
      <c r="N129" s="2" t="s">
        <v>57</v>
      </c>
    </row>
    <row r="130" spans="1:14" x14ac:dyDescent="0.3">
      <c r="A130" s="2" t="s">
        <v>268</v>
      </c>
      <c r="B130" s="2" t="s">
        <v>176</v>
      </c>
      <c r="C130" s="2" t="s">
        <v>62</v>
      </c>
      <c r="D130" s="2" t="s">
        <v>137</v>
      </c>
      <c r="E130" s="2">
        <v>51170</v>
      </c>
      <c r="F130" s="2">
        <f t="shared" si="7"/>
        <v>10234</v>
      </c>
      <c r="G130" s="2">
        <f t="shared" si="8"/>
        <v>5117</v>
      </c>
      <c r="H130" s="2">
        <f t="shared" si="9"/>
        <v>3070.2</v>
      </c>
      <c r="I130" s="2">
        <f t="shared" si="10"/>
        <v>6140.4</v>
      </c>
      <c r="J130" s="2">
        <f t="shared" si="11"/>
        <v>2558.5</v>
      </c>
      <c r="K130" s="5">
        <f t="shared" si="12"/>
        <v>78290.099999999991</v>
      </c>
      <c r="L130" s="5">
        <f t="shared" si="13"/>
        <v>69591.199999999997</v>
      </c>
      <c r="M130" s="3">
        <v>893475629903</v>
      </c>
      <c r="N130" s="2" t="s">
        <v>28</v>
      </c>
    </row>
    <row r="131" spans="1:14" x14ac:dyDescent="0.3">
      <c r="A131" s="2" t="s">
        <v>269</v>
      </c>
      <c r="B131" s="2" t="s">
        <v>270</v>
      </c>
      <c r="C131" s="2" t="s">
        <v>34</v>
      </c>
      <c r="D131" s="2" t="s">
        <v>108</v>
      </c>
      <c r="E131" s="2">
        <v>40098</v>
      </c>
      <c r="F131" s="2">
        <f t="shared" ref="F131:F161" si="14">E131*20%</f>
        <v>8019.6</v>
      </c>
      <c r="G131" s="2">
        <f t="shared" ref="G131:G161" si="15">E131*10%</f>
        <v>4009.8</v>
      </c>
      <c r="H131" s="2">
        <f t="shared" ref="H131:H161" si="16">E131*6%</f>
        <v>2405.88</v>
      </c>
      <c r="I131" s="2">
        <f t="shared" ref="I131:I161" si="17">E131*12%</f>
        <v>4811.76</v>
      </c>
      <c r="J131" s="2">
        <f t="shared" ref="J131:J161" si="18">E131*5%</f>
        <v>2004.9</v>
      </c>
      <c r="K131" s="5">
        <f t="shared" ref="K131:K161" si="19">SUM(E131:J131)</f>
        <v>61349.94</v>
      </c>
      <c r="L131" s="5">
        <f t="shared" ref="L131:L161" si="20">K131-(I131+J131)</f>
        <v>54533.279999999999</v>
      </c>
      <c r="M131" s="3">
        <v>893475624826</v>
      </c>
      <c r="N131" s="2" t="s">
        <v>57</v>
      </c>
    </row>
    <row r="132" spans="1:14" x14ac:dyDescent="0.3">
      <c r="A132" s="2" t="s">
        <v>271</v>
      </c>
      <c r="B132" s="2" t="s">
        <v>158</v>
      </c>
      <c r="C132" s="2" t="s">
        <v>48</v>
      </c>
      <c r="D132" s="2" t="s">
        <v>49</v>
      </c>
      <c r="E132" s="2">
        <v>74862</v>
      </c>
      <c r="F132" s="2">
        <f t="shared" si="14"/>
        <v>14972.400000000001</v>
      </c>
      <c r="G132" s="2">
        <f t="shared" si="15"/>
        <v>7486.2000000000007</v>
      </c>
      <c r="H132" s="2">
        <f t="shared" si="16"/>
        <v>4491.72</v>
      </c>
      <c r="I132" s="2">
        <f t="shared" si="17"/>
        <v>8983.44</v>
      </c>
      <c r="J132" s="2">
        <f t="shared" si="18"/>
        <v>3743.1000000000004</v>
      </c>
      <c r="K132" s="5">
        <f t="shared" si="19"/>
        <v>114538.86</v>
      </c>
      <c r="L132" s="5">
        <f t="shared" si="20"/>
        <v>101812.32</v>
      </c>
      <c r="M132" s="3">
        <v>893475627246</v>
      </c>
      <c r="N132" s="2" t="s">
        <v>28</v>
      </c>
    </row>
    <row r="133" spans="1:14" x14ac:dyDescent="0.3">
      <c r="A133" s="2" t="s">
        <v>272</v>
      </c>
      <c r="B133" s="2" t="s">
        <v>176</v>
      </c>
      <c r="C133" s="2" t="s">
        <v>26</v>
      </c>
      <c r="D133" s="2" t="s">
        <v>27</v>
      </c>
      <c r="E133" s="2">
        <v>78265</v>
      </c>
      <c r="F133" s="2">
        <f t="shared" si="14"/>
        <v>15653</v>
      </c>
      <c r="G133" s="2">
        <f t="shared" si="15"/>
        <v>7826.5</v>
      </c>
      <c r="H133" s="2">
        <f t="shared" si="16"/>
        <v>4695.8999999999996</v>
      </c>
      <c r="I133" s="2">
        <f t="shared" si="17"/>
        <v>9391.7999999999993</v>
      </c>
      <c r="J133" s="2">
        <f t="shared" si="18"/>
        <v>3913.25</v>
      </c>
      <c r="K133" s="5">
        <f t="shared" si="19"/>
        <v>119745.45</v>
      </c>
      <c r="L133" s="5">
        <f t="shared" si="20"/>
        <v>106440.4</v>
      </c>
      <c r="M133" s="3">
        <v>893475626439</v>
      </c>
      <c r="N133" s="2" t="s">
        <v>57</v>
      </c>
    </row>
    <row r="134" spans="1:14" x14ac:dyDescent="0.3">
      <c r="A134" s="2" t="s">
        <v>273</v>
      </c>
      <c r="B134" s="2" t="s">
        <v>274</v>
      </c>
      <c r="C134" s="2" t="s">
        <v>44</v>
      </c>
      <c r="D134" s="2" t="s">
        <v>70</v>
      </c>
      <c r="E134" s="2">
        <v>62346</v>
      </c>
      <c r="F134" s="2">
        <f t="shared" si="14"/>
        <v>12469.2</v>
      </c>
      <c r="G134" s="2">
        <f t="shared" si="15"/>
        <v>6234.6</v>
      </c>
      <c r="H134" s="2">
        <f t="shared" si="16"/>
        <v>3740.7599999999998</v>
      </c>
      <c r="I134" s="2">
        <f t="shared" si="17"/>
        <v>7481.5199999999995</v>
      </c>
      <c r="J134" s="2">
        <f t="shared" si="18"/>
        <v>3117.3</v>
      </c>
      <c r="K134" s="5">
        <f t="shared" si="19"/>
        <v>95389.38</v>
      </c>
      <c r="L134" s="5">
        <f t="shared" si="20"/>
        <v>84790.56</v>
      </c>
      <c r="M134" s="3">
        <v>893475623361</v>
      </c>
      <c r="N134" s="2" t="s">
        <v>28</v>
      </c>
    </row>
    <row r="135" spans="1:14" x14ac:dyDescent="0.3">
      <c r="A135" s="2" t="s">
        <v>275</v>
      </c>
      <c r="B135" s="2" t="s">
        <v>276</v>
      </c>
      <c r="C135" s="2" t="s">
        <v>62</v>
      </c>
      <c r="D135" s="2" t="s">
        <v>137</v>
      </c>
      <c r="E135" s="2">
        <v>55845</v>
      </c>
      <c r="F135" s="2">
        <f t="shared" si="14"/>
        <v>11169</v>
      </c>
      <c r="G135" s="2">
        <f t="shared" si="15"/>
        <v>5584.5</v>
      </c>
      <c r="H135" s="2">
        <f t="shared" si="16"/>
        <v>3350.7</v>
      </c>
      <c r="I135" s="2">
        <f t="shared" si="17"/>
        <v>6701.4</v>
      </c>
      <c r="J135" s="2">
        <f t="shared" si="18"/>
        <v>2792.25</v>
      </c>
      <c r="K135" s="5">
        <f t="shared" si="19"/>
        <v>85442.849999999991</v>
      </c>
      <c r="L135" s="5">
        <f t="shared" si="20"/>
        <v>75949.2</v>
      </c>
      <c r="M135" s="3">
        <v>893475627512</v>
      </c>
      <c r="N135" s="2" t="s">
        <v>18</v>
      </c>
    </row>
    <row r="136" spans="1:14" x14ac:dyDescent="0.3">
      <c r="A136" s="2" t="s">
        <v>277</v>
      </c>
      <c r="B136" s="2" t="s">
        <v>278</v>
      </c>
      <c r="C136" s="2" t="s">
        <v>21</v>
      </c>
      <c r="D136" s="2" t="s">
        <v>99</v>
      </c>
      <c r="E136" s="2">
        <v>62101</v>
      </c>
      <c r="F136" s="2">
        <f t="shared" si="14"/>
        <v>12420.2</v>
      </c>
      <c r="G136" s="2">
        <f t="shared" si="15"/>
        <v>6210.1</v>
      </c>
      <c r="H136" s="2">
        <f t="shared" si="16"/>
        <v>3726.06</v>
      </c>
      <c r="I136" s="2">
        <f t="shared" si="17"/>
        <v>7452.12</v>
      </c>
      <c r="J136" s="2">
        <f t="shared" si="18"/>
        <v>3105.05</v>
      </c>
      <c r="K136" s="5">
        <f t="shared" si="19"/>
        <v>95014.53</v>
      </c>
      <c r="L136" s="5">
        <f t="shared" si="20"/>
        <v>84457.36</v>
      </c>
      <c r="M136" s="3">
        <v>893475628994</v>
      </c>
      <c r="N136" s="2" t="s">
        <v>57</v>
      </c>
    </row>
    <row r="137" spans="1:14" x14ac:dyDescent="0.3">
      <c r="A137" s="2" t="s">
        <v>279</v>
      </c>
      <c r="B137" s="2" t="s">
        <v>280</v>
      </c>
      <c r="C137" s="2" t="s">
        <v>44</v>
      </c>
      <c r="D137" s="2" t="s">
        <v>45</v>
      </c>
      <c r="E137" s="2">
        <v>59852</v>
      </c>
      <c r="F137" s="2">
        <f t="shared" si="14"/>
        <v>11970.400000000001</v>
      </c>
      <c r="G137" s="2">
        <f t="shared" si="15"/>
        <v>5985.2000000000007</v>
      </c>
      <c r="H137" s="2">
        <f t="shared" si="16"/>
        <v>3591.12</v>
      </c>
      <c r="I137" s="2">
        <f t="shared" si="17"/>
        <v>7182.24</v>
      </c>
      <c r="J137" s="2">
        <f t="shared" si="18"/>
        <v>2992.6000000000004</v>
      </c>
      <c r="K137" s="5">
        <f t="shared" si="19"/>
        <v>91573.56</v>
      </c>
      <c r="L137" s="5">
        <f t="shared" si="20"/>
        <v>81398.720000000001</v>
      </c>
      <c r="M137" s="3">
        <v>893475625708</v>
      </c>
      <c r="N137" s="2" t="s">
        <v>23</v>
      </c>
    </row>
    <row r="138" spans="1:14" x14ac:dyDescent="0.3">
      <c r="A138" s="2" t="s">
        <v>281</v>
      </c>
      <c r="B138" s="2" t="s">
        <v>122</v>
      </c>
      <c r="C138" s="2" t="s">
        <v>44</v>
      </c>
      <c r="D138" s="2" t="s">
        <v>45</v>
      </c>
      <c r="E138" s="2">
        <v>25902</v>
      </c>
      <c r="F138" s="2">
        <f t="shared" si="14"/>
        <v>5180.4000000000005</v>
      </c>
      <c r="G138" s="2">
        <f t="shared" si="15"/>
        <v>2590.2000000000003</v>
      </c>
      <c r="H138" s="2">
        <f t="shared" si="16"/>
        <v>1554.12</v>
      </c>
      <c r="I138" s="2">
        <f t="shared" si="17"/>
        <v>3108.24</v>
      </c>
      <c r="J138" s="2">
        <f t="shared" si="18"/>
        <v>1295.1000000000001</v>
      </c>
      <c r="K138" s="5">
        <f t="shared" si="19"/>
        <v>39630.06</v>
      </c>
      <c r="L138" s="5">
        <f t="shared" si="20"/>
        <v>35226.720000000001</v>
      </c>
      <c r="M138" s="3">
        <v>893475625906</v>
      </c>
      <c r="N138" s="2" t="s">
        <v>36</v>
      </c>
    </row>
    <row r="139" spans="1:14" x14ac:dyDescent="0.3">
      <c r="A139" s="2" t="s">
        <v>282</v>
      </c>
      <c r="B139" s="2" t="s">
        <v>283</v>
      </c>
      <c r="C139" s="2" t="s">
        <v>26</v>
      </c>
      <c r="D139" s="2" t="s">
        <v>116</v>
      </c>
      <c r="E139" s="2">
        <v>39565</v>
      </c>
      <c r="F139" s="2">
        <f t="shared" si="14"/>
        <v>7913</v>
      </c>
      <c r="G139" s="2">
        <f t="shared" si="15"/>
        <v>3956.5</v>
      </c>
      <c r="H139" s="2">
        <f t="shared" si="16"/>
        <v>2373.9</v>
      </c>
      <c r="I139" s="2">
        <f t="shared" si="17"/>
        <v>4747.8</v>
      </c>
      <c r="J139" s="2">
        <f t="shared" si="18"/>
        <v>1978.25</v>
      </c>
      <c r="K139" s="5">
        <f t="shared" si="19"/>
        <v>60534.450000000004</v>
      </c>
      <c r="L139" s="5">
        <f t="shared" si="20"/>
        <v>53808.4</v>
      </c>
      <c r="M139" s="3">
        <v>893475628056</v>
      </c>
      <c r="N139" s="2" t="s">
        <v>23</v>
      </c>
    </row>
    <row r="140" spans="1:14" x14ac:dyDescent="0.3">
      <c r="A140" s="2" t="s">
        <v>284</v>
      </c>
      <c r="B140" s="2" t="s">
        <v>285</v>
      </c>
      <c r="C140" s="2" t="s">
        <v>21</v>
      </c>
      <c r="D140" s="2" t="s">
        <v>22</v>
      </c>
      <c r="E140" s="2">
        <v>26473</v>
      </c>
      <c r="F140" s="2">
        <f t="shared" si="14"/>
        <v>5294.6</v>
      </c>
      <c r="G140" s="2">
        <f t="shared" si="15"/>
        <v>2647.3</v>
      </c>
      <c r="H140" s="2">
        <f t="shared" si="16"/>
        <v>1588.3799999999999</v>
      </c>
      <c r="I140" s="2">
        <f t="shared" si="17"/>
        <v>3176.7599999999998</v>
      </c>
      <c r="J140" s="2">
        <f t="shared" si="18"/>
        <v>1323.65</v>
      </c>
      <c r="K140" s="5">
        <f t="shared" si="19"/>
        <v>40503.69</v>
      </c>
      <c r="L140" s="5">
        <f t="shared" si="20"/>
        <v>36003.279999999999</v>
      </c>
      <c r="M140" s="3">
        <v>893475622293</v>
      </c>
      <c r="N140" s="2" t="s">
        <v>71</v>
      </c>
    </row>
    <row r="141" spans="1:14" x14ac:dyDescent="0.3">
      <c r="A141" s="2" t="s">
        <v>286</v>
      </c>
      <c r="B141" s="2" t="s">
        <v>287</v>
      </c>
      <c r="C141" s="2" t="s">
        <v>34</v>
      </c>
      <c r="D141" s="2" t="s">
        <v>35</v>
      </c>
      <c r="E141" s="2">
        <v>24379</v>
      </c>
      <c r="F141" s="2">
        <f t="shared" si="14"/>
        <v>4875.8</v>
      </c>
      <c r="G141" s="2">
        <f t="shared" si="15"/>
        <v>2437.9</v>
      </c>
      <c r="H141" s="2">
        <f t="shared" si="16"/>
        <v>1462.74</v>
      </c>
      <c r="I141" s="2">
        <f t="shared" si="17"/>
        <v>2925.48</v>
      </c>
      <c r="J141" s="2">
        <f t="shared" si="18"/>
        <v>1218.95</v>
      </c>
      <c r="K141" s="5">
        <f t="shared" si="19"/>
        <v>37299.870000000003</v>
      </c>
      <c r="L141" s="5">
        <f t="shared" si="20"/>
        <v>33155.440000000002</v>
      </c>
      <c r="M141" s="3">
        <v>893475624804</v>
      </c>
      <c r="N141" s="2" t="s">
        <v>28</v>
      </c>
    </row>
    <row r="142" spans="1:14" x14ac:dyDescent="0.3">
      <c r="A142" s="2" t="s">
        <v>288</v>
      </c>
      <c r="B142" s="2" t="s">
        <v>289</v>
      </c>
      <c r="C142" s="2" t="s">
        <v>16</v>
      </c>
      <c r="D142" s="2" t="s">
        <v>17</v>
      </c>
      <c r="E142" s="2">
        <v>74061</v>
      </c>
      <c r="F142" s="2">
        <f t="shared" si="14"/>
        <v>14812.2</v>
      </c>
      <c r="G142" s="2">
        <f t="shared" si="15"/>
        <v>7406.1</v>
      </c>
      <c r="H142" s="2">
        <f t="shared" si="16"/>
        <v>4443.66</v>
      </c>
      <c r="I142" s="2">
        <f t="shared" si="17"/>
        <v>8887.32</v>
      </c>
      <c r="J142" s="2">
        <f t="shared" si="18"/>
        <v>3703.05</v>
      </c>
      <c r="K142" s="5">
        <f t="shared" si="19"/>
        <v>113313.33</v>
      </c>
      <c r="L142" s="5">
        <f t="shared" si="20"/>
        <v>100722.96</v>
      </c>
      <c r="M142" s="3">
        <v>893475625712</v>
      </c>
      <c r="N142" s="2" t="s">
        <v>18</v>
      </c>
    </row>
    <row r="143" spans="1:14" x14ac:dyDescent="0.3">
      <c r="A143" s="2" t="s">
        <v>290</v>
      </c>
      <c r="B143" s="2" t="s">
        <v>291</v>
      </c>
      <c r="C143" s="2" t="s">
        <v>44</v>
      </c>
      <c r="D143" s="2" t="s">
        <v>70</v>
      </c>
      <c r="E143" s="2">
        <v>79726</v>
      </c>
      <c r="F143" s="2">
        <f t="shared" si="14"/>
        <v>15945.2</v>
      </c>
      <c r="G143" s="2">
        <f t="shared" si="15"/>
        <v>7972.6</v>
      </c>
      <c r="H143" s="2">
        <f t="shared" si="16"/>
        <v>4783.5599999999995</v>
      </c>
      <c r="I143" s="2">
        <f t="shared" si="17"/>
        <v>9567.119999999999</v>
      </c>
      <c r="J143" s="2">
        <f t="shared" si="18"/>
        <v>3986.3</v>
      </c>
      <c r="K143" s="5">
        <f t="shared" si="19"/>
        <v>121980.78</v>
      </c>
      <c r="L143" s="5">
        <f t="shared" si="20"/>
        <v>108427.36</v>
      </c>
      <c r="M143" s="3">
        <v>893475625901</v>
      </c>
      <c r="N143" s="2" t="s">
        <v>18</v>
      </c>
    </row>
    <row r="144" spans="1:14" x14ac:dyDescent="0.3">
      <c r="A144" s="2" t="s">
        <v>292</v>
      </c>
      <c r="B144" s="2" t="s">
        <v>135</v>
      </c>
      <c r="C144" s="2" t="s">
        <v>62</v>
      </c>
      <c r="D144" s="2" t="s">
        <v>137</v>
      </c>
      <c r="E144" s="2">
        <v>40211</v>
      </c>
      <c r="F144" s="2">
        <f t="shared" si="14"/>
        <v>8042.2000000000007</v>
      </c>
      <c r="G144" s="2">
        <f t="shared" si="15"/>
        <v>4021.1000000000004</v>
      </c>
      <c r="H144" s="2">
        <f t="shared" si="16"/>
        <v>2412.66</v>
      </c>
      <c r="I144" s="2">
        <f t="shared" si="17"/>
        <v>4825.32</v>
      </c>
      <c r="J144" s="2">
        <f t="shared" si="18"/>
        <v>2010.5500000000002</v>
      </c>
      <c r="K144" s="5">
        <f t="shared" si="19"/>
        <v>61522.829999999994</v>
      </c>
      <c r="L144" s="5">
        <f t="shared" si="20"/>
        <v>54686.959999999992</v>
      </c>
      <c r="M144" s="3">
        <v>893475628916</v>
      </c>
      <c r="N144" s="2" t="s">
        <v>36</v>
      </c>
    </row>
    <row r="145" spans="1:14" x14ac:dyDescent="0.3">
      <c r="A145" s="2" t="s">
        <v>293</v>
      </c>
      <c r="B145" s="2" t="s">
        <v>120</v>
      </c>
      <c r="C145" s="2" t="s">
        <v>48</v>
      </c>
      <c r="D145" s="2" t="s">
        <v>49</v>
      </c>
      <c r="E145" s="2">
        <v>34348</v>
      </c>
      <c r="F145" s="2">
        <f t="shared" si="14"/>
        <v>6869.6</v>
      </c>
      <c r="G145" s="2">
        <f t="shared" si="15"/>
        <v>3434.8</v>
      </c>
      <c r="H145" s="2">
        <f t="shared" si="16"/>
        <v>2060.88</v>
      </c>
      <c r="I145" s="2">
        <f t="shared" si="17"/>
        <v>4121.76</v>
      </c>
      <c r="J145" s="2">
        <f t="shared" si="18"/>
        <v>1717.4</v>
      </c>
      <c r="K145" s="5">
        <f t="shared" si="19"/>
        <v>52552.44</v>
      </c>
      <c r="L145" s="5">
        <f t="shared" si="20"/>
        <v>46713.279999999999</v>
      </c>
      <c r="M145" s="3">
        <v>893475621359</v>
      </c>
      <c r="N145" s="2" t="s">
        <v>57</v>
      </c>
    </row>
    <row r="146" spans="1:14" x14ac:dyDescent="0.3">
      <c r="A146" s="2" t="s">
        <v>294</v>
      </c>
      <c r="B146" s="2" t="s">
        <v>247</v>
      </c>
      <c r="C146" s="2" t="s">
        <v>26</v>
      </c>
      <c r="D146" s="2" t="s">
        <v>74</v>
      </c>
      <c r="E146" s="2">
        <v>63835</v>
      </c>
      <c r="F146" s="2">
        <f t="shared" si="14"/>
        <v>12767</v>
      </c>
      <c r="G146" s="2">
        <f t="shared" si="15"/>
        <v>6383.5</v>
      </c>
      <c r="H146" s="2">
        <f t="shared" si="16"/>
        <v>3830.1</v>
      </c>
      <c r="I146" s="2">
        <f t="shared" si="17"/>
        <v>7660.2</v>
      </c>
      <c r="J146" s="2">
        <f t="shared" si="18"/>
        <v>3191.75</v>
      </c>
      <c r="K146" s="5">
        <f t="shared" si="19"/>
        <v>97667.55</v>
      </c>
      <c r="L146" s="5">
        <f t="shared" si="20"/>
        <v>86815.6</v>
      </c>
      <c r="M146" s="3">
        <v>893475629138</v>
      </c>
      <c r="N146" s="2" t="s">
        <v>57</v>
      </c>
    </row>
    <row r="147" spans="1:14" x14ac:dyDescent="0.3">
      <c r="A147" s="2" t="s">
        <v>295</v>
      </c>
      <c r="B147" s="2" t="s">
        <v>83</v>
      </c>
      <c r="C147" s="2" t="s">
        <v>48</v>
      </c>
      <c r="D147" s="2" t="s">
        <v>56</v>
      </c>
      <c r="E147" s="2">
        <v>27460</v>
      </c>
      <c r="F147" s="2">
        <f t="shared" si="14"/>
        <v>5492</v>
      </c>
      <c r="G147" s="2">
        <f t="shared" si="15"/>
        <v>2746</v>
      </c>
      <c r="H147" s="2">
        <f t="shared" si="16"/>
        <v>1647.6</v>
      </c>
      <c r="I147" s="2">
        <f t="shared" si="17"/>
        <v>3295.2</v>
      </c>
      <c r="J147" s="2">
        <f t="shared" si="18"/>
        <v>1373</v>
      </c>
      <c r="K147" s="5">
        <f t="shared" si="19"/>
        <v>42013.799999999996</v>
      </c>
      <c r="L147" s="5">
        <f t="shared" si="20"/>
        <v>37345.599999999999</v>
      </c>
      <c r="M147" s="3">
        <v>893475625106</v>
      </c>
      <c r="N147" s="2" t="s">
        <v>18</v>
      </c>
    </row>
    <row r="148" spans="1:14" x14ac:dyDescent="0.3">
      <c r="A148" s="2" t="s">
        <v>296</v>
      </c>
      <c r="B148" s="2" t="s">
        <v>276</v>
      </c>
      <c r="C148" s="2" t="s">
        <v>26</v>
      </c>
      <c r="D148" s="2" t="s">
        <v>116</v>
      </c>
      <c r="E148" s="2">
        <v>17186</v>
      </c>
      <c r="F148" s="2">
        <f t="shared" si="14"/>
        <v>3437.2000000000003</v>
      </c>
      <c r="G148" s="2">
        <f t="shared" si="15"/>
        <v>1718.6000000000001</v>
      </c>
      <c r="H148" s="2">
        <f t="shared" si="16"/>
        <v>1031.1599999999999</v>
      </c>
      <c r="I148" s="2">
        <f t="shared" si="17"/>
        <v>2062.3199999999997</v>
      </c>
      <c r="J148" s="2">
        <f t="shared" si="18"/>
        <v>859.30000000000007</v>
      </c>
      <c r="K148" s="5">
        <f t="shared" si="19"/>
        <v>26294.579999999998</v>
      </c>
      <c r="L148" s="5">
        <f t="shared" si="20"/>
        <v>23372.959999999999</v>
      </c>
      <c r="M148" s="3">
        <v>893475626977</v>
      </c>
      <c r="N148" s="2" t="s">
        <v>18</v>
      </c>
    </row>
    <row r="149" spans="1:14" x14ac:dyDescent="0.3">
      <c r="A149" s="2" t="s">
        <v>297</v>
      </c>
      <c r="B149" s="2" t="s">
        <v>276</v>
      </c>
      <c r="C149" s="2" t="s">
        <v>16</v>
      </c>
      <c r="D149" s="2" t="s">
        <v>41</v>
      </c>
      <c r="E149" s="2">
        <v>26510</v>
      </c>
      <c r="F149" s="2">
        <f t="shared" si="14"/>
        <v>5302</v>
      </c>
      <c r="G149" s="2">
        <f t="shared" si="15"/>
        <v>2651</v>
      </c>
      <c r="H149" s="2">
        <f t="shared" si="16"/>
        <v>1590.6</v>
      </c>
      <c r="I149" s="2">
        <f t="shared" si="17"/>
        <v>3181.2</v>
      </c>
      <c r="J149" s="2">
        <f t="shared" si="18"/>
        <v>1325.5</v>
      </c>
      <c r="K149" s="5">
        <f t="shared" si="19"/>
        <v>40560.299999999996</v>
      </c>
      <c r="L149" s="5">
        <f t="shared" si="20"/>
        <v>36053.599999999999</v>
      </c>
      <c r="M149" s="3">
        <v>893475624289</v>
      </c>
      <c r="N149" s="2" t="s">
        <v>23</v>
      </c>
    </row>
    <row r="150" spans="1:14" x14ac:dyDescent="0.3">
      <c r="A150" s="2" t="s">
        <v>298</v>
      </c>
      <c r="B150" s="2" t="s">
        <v>299</v>
      </c>
      <c r="C150" s="2" t="s">
        <v>16</v>
      </c>
      <c r="D150" s="2" t="s">
        <v>17</v>
      </c>
      <c r="E150" s="2">
        <v>74903</v>
      </c>
      <c r="F150" s="2">
        <f t="shared" si="14"/>
        <v>14980.6</v>
      </c>
      <c r="G150" s="2">
        <f t="shared" si="15"/>
        <v>7490.3</v>
      </c>
      <c r="H150" s="2">
        <f t="shared" si="16"/>
        <v>4494.1799999999994</v>
      </c>
      <c r="I150" s="2">
        <f t="shared" si="17"/>
        <v>8988.3599999999988</v>
      </c>
      <c r="J150" s="2">
        <f t="shared" si="18"/>
        <v>3745.15</v>
      </c>
      <c r="K150" s="5">
        <f t="shared" si="19"/>
        <v>114601.59</v>
      </c>
      <c r="L150" s="5">
        <f t="shared" si="20"/>
        <v>101868.08</v>
      </c>
      <c r="M150" s="3">
        <v>893475628894</v>
      </c>
      <c r="N150" s="2" t="s">
        <v>57</v>
      </c>
    </row>
    <row r="151" spans="1:14" x14ac:dyDescent="0.3">
      <c r="A151" s="2" t="s">
        <v>300</v>
      </c>
      <c r="B151" s="2" t="s">
        <v>301</v>
      </c>
      <c r="C151" s="2" t="s">
        <v>44</v>
      </c>
      <c r="D151" s="2" t="s">
        <v>70</v>
      </c>
      <c r="E151" s="2">
        <v>24224</v>
      </c>
      <c r="F151" s="2">
        <f t="shared" si="14"/>
        <v>4844.8</v>
      </c>
      <c r="G151" s="2">
        <f t="shared" si="15"/>
        <v>2422.4</v>
      </c>
      <c r="H151" s="2">
        <f t="shared" si="16"/>
        <v>1453.44</v>
      </c>
      <c r="I151" s="2">
        <f t="shared" si="17"/>
        <v>2906.88</v>
      </c>
      <c r="J151" s="2">
        <f t="shared" si="18"/>
        <v>1211.2</v>
      </c>
      <c r="K151" s="5">
        <f t="shared" si="19"/>
        <v>37062.719999999994</v>
      </c>
      <c r="L151" s="5">
        <f t="shared" si="20"/>
        <v>32944.639999999992</v>
      </c>
      <c r="M151" s="3">
        <v>893475624696</v>
      </c>
      <c r="N151" s="2" t="s">
        <v>57</v>
      </c>
    </row>
    <row r="152" spans="1:14" x14ac:dyDescent="0.3">
      <c r="A152" s="2" t="s">
        <v>302</v>
      </c>
      <c r="B152" s="2" t="s">
        <v>255</v>
      </c>
      <c r="C152" s="2" t="s">
        <v>48</v>
      </c>
      <c r="D152" s="2" t="s">
        <v>56</v>
      </c>
      <c r="E152" s="2">
        <v>15912</v>
      </c>
      <c r="F152" s="2">
        <f t="shared" si="14"/>
        <v>3182.4</v>
      </c>
      <c r="G152" s="2">
        <f t="shared" si="15"/>
        <v>1591.2</v>
      </c>
      <c r="H152" s="2">
        <f t="shared" si="16"/>
        <v>954.71999999999991</v>
      </c>
      <c r="I152" s="2">
        <f t="shared" si="17"/>
        <v>1909.4399999999998</v>
      </c>
      <c r="J152" s="2">
        <f t="shared" si="18"/>
        <v>795.6</v>
      </c>
      <c r="K152" s="5">
        <f t="shared" si="19"/>
        <v>24345.360000000001</v>
      </c>
      <c r="L152" s="5">
        <f t="shared" si="20"/>
        <v>21640.32</v>
      </c>
      <c r="M152" s="3">
        <v>893475625332</v>
      </c>
      <c r="N152" s="2" t="s">
        <v>71</v>
      </c>
    </row>
    <row r="153" spans="1:14" x14ac:dyDescent="0.3">
      <c r="A153" s="2" t="s">
        <v>303</v>
      </c>
      <c r="B153" s="2" t="s">
        <v>274</v>
      </c>
      <c r="C153" s="2" t="s">
        <v>48</v>
      </c>
      <c r="D153" s="2" t="s">
        <v>49</v>
      </c>
      <c r="E153" s="2">
        <v>39970</v>
      </c>
      <c r="F153" s="2">
        <f t="shared" si="14"/>
        <v>7994</v>
      </c>
      <c r="G153" s="2">
        <f t="shared" si="15"/>
        <v>3997</v>
      </c>
      <c r="H153" s="2">
        <f t="shared" si="16"/>
        <v>2398.1999999999998</v>
      </c>
      <c r="I153" s="2">
        <f t="shared" si="17"/>
        <v>4796.3999999999996</v>
      </c>
      <c r="J153" s="2">
        <f t="shared" si="18"/>
        <v>1998.5</v>
      </c>
      <c r="K153" s="5">
        <f t="shared" si="19"/>
        <v>61154.1</v>
      </c>
      <c r="L153" s="5">
        <f t="shared" si="20"/>
        <v>54359.199999999997</v>
      </c>
      <c r="M153" s="3">
        <v>893475627086</v>
      </c>
      <c r="N153" s="2" t="s">
        <v>36</v>
      </c>
    </row>
    <row r="154" spans="1:14" x14ac:dyDescent="0.3">
      <c r="A154" s="2" t="s">
        <v>304</v>
      </c>
      <c r="B154" s="2" t="s">
        <v>30</v>
      </c>
      <c r="C154" s="2" t="s">
        <v>26</v>
      </c>
      <c r="D154" s="2" t="s">
        <v>116</v>
      </c>
      <c r="E154" s="2">
        <v>29507</v>
      </c>
      <c r="F154" s="2">
        <f t="shared" si="14"/>
        <v>5901.4000000000005</v>
      </c>
      <c r="G154" s="2">
        <f t="shared" si="15"/>
        <v>2950.7000000000003</v>
      </c>
      <c r="H154" s="2">
        <f t="shared" si="16"/>
        <v>1770.4199999999998</v>
      </c>
      <c r="I154" s="2">
        <f t="shared" si="17"/>
        <v>3540.8399999999997</v>
      </c>
      <c r="J154" s="2">
        <f t="shared" si="18"/>
        <v>1475.3500000000001</v>
      </c>
      <c r="K154" s="5">
        <f t="shared" si="19"/>
        <v>45145.709999999992</v>
      </c>
      <c r="L154" s="5">
        <f t="shared" si="20"/>
        <v>40129.51999999999</v>
      </c>
      <c r="M154" s="3">
        <v>893475622035</v>
      </c>
      <c r="N154" s="2" t="s">
        <v>18</v>
      </c>
    </row>
    <row r="155" spans="1:14" x14ac:dyDescent="0.3">
      <c r="A155" s="2" t="s">
        <v>305</v>
      </c>
      <c r="B155" s="2" t="s">
        <v>113</v>
      </c>
      <c r="C155" s="2" t="s">
        <v>21</v>
      </c>
      <c r="D155" s="2" t="s">
        <v>22</v>
      </c>
      <c r="E155" s="2">
        <v>17971</v>
      </c>
      <c r="F155" s="2">
        <f t="shared" si="14"/>
        <v>3594.2000000000003</v>
      </c>
      <c r="G155" s="2">
        <f t="shared" si="15"/>
        <v>1797.1000000000001</v>
      </c>
      <c r="H155" s="2">
        <f t="shared" si="16"/>
        <v>1078.26</v>
      </c>
      <c r="I155" s="2">
        <f t="shared" si="17"/>
        <v>2156.52</v>
      </c>
      <c r="J155" s="2">
        <f t="shared" si="18"/>
        <v>898.55000000000007</v>
      </c>
      <c r="K155" s="5">
        <f t="shared" si="19"/>
        <v>27495.629999999997</v>
      </c>
      <c r="L155" s="5">
        <f t="shared" si="20"/>
        <v>24440.559999999998</v>
      </c>
      <c r="M155" s="3">
        <v>893475621609</v>
      </c>
      <c r="N155" s="2" t="s">
        <v>31</v>
      </c>
    </row>
    <row r="156" spans="1:14" x14ac:dyDescent="0.3">
      <c r="A156" s="2" t="s">
        <v>306</v>
      </c>
      <c r="B156" s="2" t="s">
        <v>85</v>
      </c>
      <c r="C156" s="2" t="s">
        <v>44</v>
      </c>
      <c r="D156" s="2" t="s">
        <v>45</v>
      </c>
      <c r="E156" s="2">
        <v>23890</v>
      </c>
      <c r="F156" s="2">
        <f t="shared" si="14"/>
        <v>4778</v>
      </c>
      <c r="G156" s="2">
        <f t="shared" si="15"/>
        <v>2389</v>
      </c>
      <c r="H156" s="2">
        <f t="shared" si="16"/>
        <v>1433.3999999999999</v>
      </c>
      <c r="I156" s="2">
        <f t="shared" si="17"/>
        <v>2866.7999999999997</v>
      </c>
      <c r="J156" s="2">
        <f t="shared" si="18"/>
        <v>1194.5</v>
      </c>
      <c r="K156" s="5">
        <f t="shared" si="19"/>
        <v>36551.700000000004</v>
      </c>
      <c r="L156" s="5">
        <f t="shared" si="20"/>
        <v>32490.400000000005</v>
      </c>
      <c r="M156" s="3">
        <v>893475627367</v>
      </c>
      <c r="N156" s="2" t="s">
        <v>28</v>
      </c>
    </row>
    <row r="157" spans="1:14" x14ac:dyDescent="0.3">
      <c r="A157" s="2" t="s">
        <v>307</v>
      </c>
      <c r="B157" s="2" t="s">
        <v>308</v>
      </c>
      <c r="C157" s="2" t="s">
        <v>21</v>
      </c>
      <c r="D157" s="2" t="s">
        <v>22</v>
      </c>
      <c r="E157" s="2">
        <v>57920</v>
      </c>
      <c r="F157" s="2">
        <f t="shared" si="14"/>
        <v>11584</v>
      </c>
      <c r="G157" s="2">
        <f t="shared" si="15"/>
        <v>5792</v>
      </c>
      <c r="H157" s="2">
        <f t="shared" si="16"/>
        <v>3475.2</v>
      </c>
      <c r="I157" s="2">
        <f t="shared" si="17"/>
        <v>6950.4</v>
      </c>
      <c r="J157" s="2">
        <f t="shared" si="18"/>
        <v>2896</v>
      </c>
      <c r="K157" s="5">
        <f t="shared" si="19"/>
        <v>88617.599999999991</v>
      </c>
      <c r="L157" s="5">
        <f t="shared" si="20"/>
        <v>78771.199999999997</v>
      </c>
      <c r="M157" s="3">
        <v>893475622622</v>
      </c>
      <c r="N157" s="2" t="s">
        <v>57</v>
      </c>
    </row>
    <row r="158" spans="1:14" x14ac:dyDescent="0.3">
      <c r="A158" s="2" t="s">
        <v>309</v>
      </c>
      <c r="B158" s="2" t="s">
        <v>310</v>
      </c>
      <c r="C158" s="2" t="s">
        <v>21</v>
      </c>
      <c r="D158" s="2" t="s">
        <v>99</v>
      </c>
      <c r="E158" s="2">
        <v>60238</v>
      </c>
      <c r="F158" s="2">
        <f t="shared" si="14"/>
        <v>12047.6</v>
      </c>
      <c r="G158" s="2">
        <f t="shared" si="15"/>
        <v>6023.8</v>
      </c>
      <c r="H158" s="2">
        <f t="shared" si="16"/>
        <v>3614.2799999999997</v>
      </c>
      <c r="I158" s="2">
        <f t="shared" si="17"/>
        <v>7228.5599999999995</v>
      </c>
      <c r="J158" s="2">
        <f t="shared" si="18"/>
        <v>3011.9</v>
      </c>
      <c r="K158" s="5">
        <f t="shared" si="19"/>
        <v>92164.14</v>
      </c>
      <c r="L158" s="5">
        <f t="shared" si="20"/>
        <v>81923.679999999993</v>
      </c>
      <c r="M158" s="3">
        <v>893475627070</v>
      </c>
      <c r="N158" s="2" t="s">
        <v>23</v>
      </c>
    </row>
    <row r="159" spans="1:14" x14ac:dyDescent="0.3">
      <c r="A159" s="2" t="s">
        <v>311</v>
      </c>
      <c r="B159" s="2" t="s">
        <v>312</v>
      </c>
      <c r="C159" s="2" t="s">
        <v>34</v>
      </c>
      <c r="D159" s="2" t="s">
        <v>35</v>
      </c>
      <c r="E159" s="2">
        <v>79286</v>
      </c>
      <c r="F159" s="2">
        <f t="shared" si="14"/>
        <v>15857.2</v>
      </c>
      <c r="G159" s="2">
        <f t="shared" si="15"/>
        <v>7928.6</v>
      </c>
      <c r="H159" s="2">
        <f t="shared" si="16"/>
        <v>4757.16</v>
      </c>
      <c r="I159" s="2">
        <f t="shared" si="17"/>
        <v>9514.32</v>
      </c>
      <c r="J159" s="2">
        <f t="shared" si="18"/>
        <v>3964.3</v>
      </c>
      <c r="K159" s="5">
        <f t="shared" si="19"/>
        <v>121307.58</v>
      </c>
      <c r="L159" s="5">
        <f t="shared" si="20"/>
        <v>107828.96</v>
      </c>
      <c r="M159" s="3">
        <v>893475627018</v>
      </c>
      <c r="N159" s="2" t="s">
        <v>71</v>
      </c>
    </row>
    <row r="160" spans="1:14" x14ac:dyDescent="0.3">
      <c r="A160" s="2" t="s">
        <v>313</v>
      </c>
      <c r="B160" s="2" t="s">
        <v>314</v>
      </c>
      <c r="C160" s="2" t="s">
        <v>21</v>
      </c>
      <c r="D160" s="2" t="s">
        <v>99</v>
      </c>
      <c r="E160" s="2">
        <v>78452</v>
      </c>
      <c r="F160" s="2">
        <f t="shared" si="14"/>
        <v>15690.400000000001</v>
      </c>
      <c r="G160" s="2">
        <f t="shared" si="15"/>
        <v>7845.2000000000007</v>
      </c>
      <c r="H160" s="2">
        <f t="shared" si="16"/>
        <v>4707.12</v>
      </c>
      <c r="I160" s="2">
        <f t="shared" si="17"/>
        <v>9414.24</v>
      </c>
      <c r="J160" s="2">
        <f t="shared" si="18"/>
        <v>3922.6000000000004</v>
      </c>
      <c r="K160" s="5">
        <f t="shared" si="19"/>
        <v>120031.56</v>
      </c>
      <c r="L160" s="5">
        <f t="shared" si="20"/>
        <v>106694.72</v>
      </c>
      <c r="M160" s="3">
        <v>893475623001</v>
      </c>
      <c r="N160" s="2" t="s">
        <v>57</v>
      </c>
    </row>
    <row r="161" spans="1:14" x14ac:dyDescent="0.3">
      <c r="A161" s="2" t="s">
        <v>315</v>
      </c>
      <c r="B161" s="2" t="s">
        <v>316</v>
      </c>
      <c r="C161" s="2" t="s">
        <v>34</v>
      </c>
      <c r="D161" s="2" t="s">
        <v>108</v>
      </c>
      <c r="E161" s="2">
        <v>66563</v>
      </c>
      <c r="F161" s="2">
        <f t="shared" si="14"/>
        <v>13312.6</v>
      </c>
      <c r="G161" s="2">
        <f t="shared" si="15"/>
        <v>6656.3</v>
      </c>
      <c r="H161" s="2">
        <f t="shared" si="16"/>
        <v>3993.7799999999997</v>
      </c>
      <c r="I161" s="2">
        <f t="shared" si="17"/>
        <v>7987.5599999999995</v>
      </c>
      <c r="J161" s="2">
        <f t="shared" si="18"/>
        <v>3328.15</v>
      </c>
      <c r="K161" s="5">
        <f t="shared" si="19"/>
        <v>101841.39</v>
      </c>
      <c r="L161" s="5">
        <f t="shared" si="20"/>
        <v>90525.68</v>
      </c>
      <c r="M161" s="3">
        <v>893475626464</v>
      </c>
      <c r="N161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55B8-0C5C-47C3-94BD-E53A50A4A8E4}">
  <dimension ref="A1:FG161"/>
  <sheetViews>
    <sheetView tabSelected="1" workbookViewId="0">
      <selection activeCell="F15" sqref="F15"/>
    </sheetView>
  </sheetViews>
  <sheetFormatPr defaultRowHeight="14.4" x14ac:dyDescent="0.3"/>
  <cols>
    <col min="1" max="1" width="7.6640625" bestFit="1" customWidth="1"/>
    <col min="2" max="2" width="16.77734375" bestFit="1" customWidth="1"/>
    <col min="3" max="30" width="10.33203125" bestFit="1" customWidth="1"/>
  </cols>
  <sheetData>
    <row r="1" spans="1:30" x14ac:dyDescent="0.3">
      <c r="A1" s="1" t="s">
        <v>0</v>
      </c>
      <c r="B1" s="1" t="s">
        <v>1</v>
      </c>
      <c r="C1" s="4">
        <v>45689</v>
      </c>
      <c r="D1" s="4">
        <v>45690</v>
      </c>
      <c r="E1" s="4">
        <v>45691</v>
      </c>
      <c r="F1" s="4">
        <v>45692</v>
      </c>
      <c r="G1" s="4">
        <v>45693</v>
      </c>
      <c r="H1" s="4">
        <v>45694</v>
      </c>
      <c r="I1" s="4">
        <v>45695</v>
      </c>
      <c r="J1" s="4">
        <v>45696</v>
      </c>
      <c r="K1" s="4">
        <v>45697</v>
      </c>
      <c r="L1" s="4">
        <v>45698</v>
      </c>
      <c r="M1" s="4">
        <v>45699</v>
      </c>
      <c r="N1" s="4">
        <v>45700</v>
      </c>
      <c r="O1" s="4">
        <v>45701</v>
      </c>
      <c r="P1" s="4">
        <v>45702</v>
      </c>
      <c r="Q1" s="4">
        <v>45703</v>
      </c>
      <c r="R1" s="4">
        <v>45704</v>
      </c>
      <c r="S1" s="4">
        <v>45705</v>
      </c>
      <c r="T1" s="4">
        <v>45706</v>
      </c>
      <c r="U1" s="4">
        <v>45707</v>
      </c>
      <c r="V1" s="4">
        <v>45708</v>
      </c>
      <c r="W1" s="4">
        <v>45709</v>
      </c>
      <c r="X1" s="4">
        <v>45710</v>
      </c>
      <c r="Y1" s="4">
        <v>45711</v>
      </c>
      <c r="Z1" s="4">
        <v>45712</v>
      </c>
      <c r="AA1" s="4">
        <v>45713</v>
      </c>
      <c r="AB1" s="4">
        <v>45714</v>
      </c>
      <c r="AC1" s="4">
        <v>45715</v>
      </c>
      <c r="AD1" s="4">
        <v>45716</v>
      </c>
    </row>
    <row r="2" spans="1:30" x14ac:dyDescent="0.3">
      <c r="A2" s="2" t="s">
        <v>14</v>
      </c>
      <c r="B2" s="2" t="s">
        <v>15</v>
      </c>
      <c r="C2" s="2" t="s">
        <v>317</v>
      </c>
      <c r="D2" s="2" t="s">
        <v>317</v>
      </c>
      <c r="E2" s="2" t="s">
        <v>319</v>
      </c>
      <c r="F2" s="2" t="s">
        <v>317</v>
      </c>
      <c r="G2" s="2" t="s">
        <v>317</v>
      </c>
      <c r="H2" s="2" t="s">
        <v>317</v>
      </c>
      <c r="I2" s="2" t="s">
        <v>317</v>
      </c>
      <c r="J2" s="2" t="s">
        <v>317</v>
      </c>
      <c r="K2" s="2" t="s">
        <v>317</v>
      </c>
      <c r="L2" s="2" t="s">
        <v>317</v>
      </c>
      <c r="M2" s="2" t="s">
        <v>319</v>
      </c>
      <c r="N2" s="2" t="s">
        <v>317</v>
      </c>
      <c r="O2" s="2" t="s">
        <v>317</v>
      </c>
      <c r="P2" s="2" t="s">
        <v>318</v>
      </c>
      <c r="Q2" s="2" t="s">
        <v>317</v>
      </c>
      <c r="R2" s="2" t="s">
        <v>317</v>
      </c>
      <c r="S2" s="2" t="s">
        <v>317</v>
      </c>
      <c r="T2" s="2" t="s">
        <v>317</v>
      </c>
      <c r="U2" s="2" t="s">
        <v>318</v>
      </c>
      <c r="V2" s="2" t="s">
        <v>317</v>
      </c>
      <c r="W2" s="2" t="s">
        <v>317</v>
      </c>
      <c r="X2" s="2" t="s">
        <v>317</v>
      </c>
      <c r="Y2" s="2" t="s">
        <v>317</v>
      </c>
      <c r="Z2" s="2" t="s">
        <v>317</v>
      </c>
      <c r="AA2" s="2" t="s">
        <v>317</v>
      </c>
      <c r="AB2" s="2" t="s">
        <v>317</v>
      </c>
      <c r="AC2" s="2" t="s">
        <v>317</v>
      </c>
      <c r="AD2" s="2" t="s">
        <v>317</v>
      </c>
    </row>
    <row r="3" spans="1:30" x14ac:dyDescent="0.3">
      <c r="A3" s="2" t="s">
        <v>19</v>
      </c>
      <c r="B3" s="2" t="s">
        <v>20</v>
      </c>
      <c r="C3" s="2" t="s">
        <v>317</v>
      </c>
      <c r="D3" s="2" t="s">
        <v>317</v>
      </c>
      <c r="E3" s="2" t="s">
        <v>317</v>
      </c>
      <c r="F3" s="2" t="s">
        <v>317</v>
      </c>
      <c r="G3" s="2" t="s">
        <v>317</v>
      </c>
      <c r="H3" s="2" t="s">
        <v>317</v>
      </c>
      <c r="I3" s="2" t="s">
        <v>317</v>
      </c>
      <c r="J3" s="2" t="s">
        <v>317</v>
      </c>
      <c r="K3" s="2" t="s">
        <v>317</v>
      </c>
      <c r="L3" s="2" t="s">
        <v>317</v>
      </c>
      <c r="M3" s="2" t="s">
        <v>317</v>
      </c>
      <c r="N3" s="2" t="s">
        <v>317</v>
      </c>
      <c r="O3" s="2" t="s">
        <v>319</v>
      </c>
      <c r="P3" s="2" t="s">
        <v>318</v>
      </c>
      <c r="Q3" s="2" t="s">
        <v>317</v>
      </c>
      <c r="R3" s="2" t="s">
        <v>317</v>
      </c>
      <c r="S3" s="2" t="s">
        <v>317</v>
      </c>
      <c r="T3" s="2" t="s">
        <v>317</v>
      </c>
      <c r="U3" s="2" t="s">
        <v>317</v>
      </c>
      <c r="V3" s="2" t="s">
        <v>317</v>
      </c>
      <c r="W3" s="2" t="s">
        <v>317</v>
      </c>
      <c r="X3" s="2" t="s">
        <v>318</v>
      </c>
      <c r="Y3" s="2" t="s">
        <v>317</v>
      </c>
      <c r="Z3" s="2" t="s">
        <v>317</v>
      </c>
      <c r="AA3" s="2" t="s">
        <v>319</v>
      </c>
      <c r="AB3" s="2" t="s">
        <v>317</v>
      </c>
      <c r="AC3" s="2" t="s">
        <v>317</v>
      </c>
      <c r="AD3" s="2" t="s">
        <v>317</v>
      </c>
    </row>
    <row r="4" spans="1:30" x14ac:dyDescent="0.3">
      <c r="A4" s="2" t="s">
        <v>24</v>
      </c>
      <c r="B4" s="2" t="s">
        <v>25</v>
      </c>
      <c r="C4" s="2" t="s">
        <v>317</v>
      </c>
      <c r="D4" s="2" t="s">
        <v>319</v>
      </c>
      <c r="E4" s="2" t="s">
        <v>320</v>
      </c>
      <c r="F4" s="2" t="s">
        <v>317</v>
      </c>
      <c r="G4" s="2" t="s">
        <v>317</v>
      </c>
      <c r="H4" s="2" t="s">
        <v>317</v>
      </c>
      <c r="I4" s="2" t="s">
        <v>317</v>
      </c>
      <c r="J4" s="2" t="s">
        <v>317</v>
      </c>
      <c r="K4" s="2" t="s">
        <v>317</v>
      </c>
      <c r="L4" s="2" t="s">
        <v>317</v>
      </c>
      <c r="M4" s="2" t="s">
        <v>320</v>
      </c>
      <c r="N4" s="2" t="s">
        <v>317</v>
      </c>
      <c r="O4" s="2" t="s">
        <v>317</v>
      </c>
      <c r="P4" s="2" t="s">
        <v>317</v>
      </c>
      <c r="Q4" s="2" t="s">
        <v>317</v>
      </c>
      <c r="R4" s="2" t="s">
        <v>317</v>
      </c>
      <c r="S4" s="2" t="s">
        <v>317</v>
      </c>
      <c r="T4" s="2" t="s">
        <v>317</v>
      </c>
      <c r="U4" s="2" t="s">
        <v>317</v>
      </c>
      <c r="V4" s="2" t="s">
        <v>319</v>
      </c>
      <c r="W4" s="2" t="s">
        <v>317</v>
      </c>
      <c r="X4" s="2" t="s">
        <v>317</v>
      </c>
      <c r="Y4" s="2" t="s">
        <v>317</v>
      </c>
      <c r="Z4" s="2" t="s">
        <v>320</v>
      </c>
      <c r="AA4" s="2" t="s">
        <v>317</v>
      </c>
      <c r="AB4" s="2" t="s">
        <v>317</v>
      </c>
      <c r="AC4" s="2" t="s">
        <v>318</v>
      </c>
      <c r="AD4" s="2" t="s">
        <v>318</v>
      </c>
    </row>
    <row r="5" spans="1:30" x14ac:dyDescent="0.3">
      <c r="A5" s="2" t="s">
        <v>29</v>
      </c>
      <c r="B5" s="2" t="s">
        <v>30</v>
      </c>
      <c r="C5" s="2" t="s">
        <v>317</v>
      </c>
      <c r="D5" s="2" t="s">
        <v>317</v>
      </c>
      <c r="E5" s="2" t="s">
        <v>317</v>
      </c>
      <c r="F5" s="2" t="s">
        <v>317</v>
      </c>
      <c r="G5" s="2" t="s">
        <v>317</v>
      </c>
      <c r="H5" s="2" t="s">
        <v>317</v>
      </c>
      <c r="I5" s="2" t="s">
        <v>317</v>
      </c>
      <c r="J5" s="2" t="s">
        <v>317</v>
      </c>
      <c r="K5" s="2" t="s">
        <v>317</v>
      </c>
      <c r="L5" s="2" t="s">
        <v>319</v>
      </c>
      <c r="M5" s="2" t="s">
        <v>319</v>
      </c>
      <c r="N5" s="2" t="s">
        <v>317</v>
      </c>
      <c r="O5" s="2" t="s">
        <v>317</v>
      </c>
      <c r="P5" s="2" t="s">
        <v>317</v>
      </c>
      <c r="Q5" s="2" t="s">
        <v>317</v>
      </c>
      <c r="R5" s="2" t="s">
        <v>317</v>
      </c>
      <c r="S5" s="2" t="s">
        <v>317</v>
      </c>
      <c r="T5" s="2" t="s">
        <v>317</v>
      </c>
      <c r="U5" s="2" t="s">
        <v>317</v>
      </c>
      <c r="V5" s="2" t="s">
        <v>317</v>
      </c>
      <c r="W5" s="2" t="s">
        <v>317</v>
      </c>
      <c r="X5" s="2" t="s">
        <v>318</v>
      </c>
      <c r="Y5" s="2" t="s">
        <v>317</v>
      </c>
      <c r="Z5" s="2" t="s">
        <v>317</v>
      </c>
      <c r="AA5" s="2" t="s">
        <v>317</v>
      </c>
      <c r="AB5" s="2" t="s">
        <v>317</v>
      </c>
      <c r="AC5" s="2" t="s">
        <v>317</v>
      </c>
      <c r="AD5" s="2" t="s">
        <v>317</v>
      </c>
    </row>
    <row r="6" spans="1:30" x14ac:dyDescent="0.3">
      <c r="A6" s="2" t="s">
        <v>32</v>
      </c>
      <c r="B6" s="2" t="s">
        <v>33</v>
      </c>
      <c r="C6" s="2" t="s">
        <v>317</v>
      </c>
      <c r="D6" s="2" t="s">
        <v>319</v>
      </c>
      <c r="E6" s="2" t="s">
        <v>317</v>
      </c>
      <c r="F6" s="2" t="s">
        <v>317</v>
      </c>
      <c r="G6" s="2" t="s">
        <v>317</v>
      </c>
      <c r="H6" s="2" t="s">
        <v>317</v>
      </c>
      <c r="I6" s="2" t="s">
        <v>320</v>
      </c>
      <c r="J6" s="2" t="s">
        <v>317</v>
      </c>
      <c r="K6" s="2" t="s">
        <v>317</v>
      </c>
      <c r="L6" s="2" t="s">
        <v>317</v>
      </c>
      <c r="M6" s="2" t="s">
        <v>317</v>
      </c>
      <c r="N6" s="2" t="s">
        <v>317</v>
      </c>
      <c r="O6" s="2" t="s">
        <v>317</v>
      </c>
      <c r="P6" s="2" t="s">
        <v>317</v>
      </c>
      <c r="Q6" s="2" t="s">
        <v>317</v>
      </c>
      <c r="R6" s="2" t="s">
        <v>317</v>
      </c>
      <c r="S6" s="2" t="s">
        <v>317</v>
      </c>
      <c r="T6" s="2" t="s">
        <v>317</v>
      </c>
      <c r="U6" s="2" t="s">
        <v>317</v>
      </c>
      <c r="V6" s="2" t="s">
        <v>317</v>
      </c>
      <c r="W6" s="2" t="s">
        <v>317</v>
      </c>
      <c r="X6" s="2" t="s">
        <v>317</v>
      </c>
      <c r="Y6" s="2" t="s">
        <v>317</v>
      </c>
      <c r="Z6" s="2" t="s">
        <v>317</v>
      </c>
      <c r="AA6" s="2" t="s">
        <v>317</v>
      </c>
      <c r="AB6" s="2" t="s">
        <v>317</v>
      </c>
      <c r="AC6" s="2" t="s">
        <v>317</v>
      </c>
      <c r="AD6" s="2" t="s">
        <v>317</v>
      </c>
    </row>
    <row r="7" spans="1:30" x14ac:dyDescent="0.3">
      <c r="A7" s="2" t="s">
        <v>37</v>
      </c>
      <c r="B7" s="2" t="s">
        <v>38</v>
      </c>
      <c r="C7" s="2" t="s">
        <v>320</v>
      </c>
      <c r="D7" s="2" t="s">
        <v>317</v>
      </c>
      <c r="E7" s="2" t="s">
        <v>317</v>
      </c>
      <c r="F7" s="2" t="s">
        <v>317</v>
      </c>
      <c r="G7" s="2" t="s">
        <v>317</v>
      </c>
      <c r="H7" s="2" t="s">
        <v>317</v>
      </c>
      <c r="I7" s="2" t="s">
        <v>317</v>
      </c>
      <c r="J7" s="2" t="s">
        <v>320</v>
      </c>
      <c r="K7" s="2" t="s">
        <v>317</v>
      </c>
      <c r="L7" s="2" t="s">
        <v>317</v>
      </c>
      <c r="M7" s="2" t="s">
        <v>317</v>
      </c>
      <c r="N7" s="2" t="s">
        <v>317</v>
      </c>
      <c r="O7" s="2" t="s">
        <v>317</v>
      </c>
      <c r="P7" s="2" t="s">
        <v>317</v>
      </c>
      <c r="Q7" s="2" t="s">
        <v>317</v>
      </c>
      <c r="R7" s="2" t="s">
        <v>317</v>
      </c>
      <c r="S7" s="2" t="s">
        <v>317</v>
      </c>
      <c r="T7" s="2" t="s">
        <v>317</v>
      </c>
      <c r="U7" s="2" t="s">
        <v>317</v>
      </c>
      <c r="V7" s="2" t="s">
        <v>317</v>
      </c>
      <c r="W7" s="2" t="s">
        <v>317</v>
      </c>
      <c r="X7" s="2" t="s">
        <v>317</v>
      </c>
      <c r="Y7" s="2" t="s">
        <v>317</v>
      </c>
      <c r="Z7" s="2" t="s">
        <v>317</v>
      </c>
      <c r="AA7" s="2" t="s">
        <v>317</v>
      </c>
      <c r="AB7" s="2" t="s">
        <v>318</v>
      </c>
      <c r="AC7" s="2" t="s">
        <v>317</v>
      </c>
      <c r="AD7" s="2" t="s">
        <v>317</v>
      </c>
    </row>
    <row r="8" spans="1:30" x14ac:dyDescent="0.3">
      <c r="A8" s="2" t="s">
        <v>39</v>
      </c>
      <c r="B8" s="2" t="s">
        <v>40</v>
      </c>
      <c r="C8" s="2" t="s">
        <v>317</v>
      </c>
      <c r="D8" s="2" t="s">
        <v>317</v>
      </c>
      <c r="E8" s="2" t="s">
        <v>320</v>
      </c>
      <c r="F8" s="2" t="s">
        <v>317</v>
      </c>
      <c r="G8" s="2" t="s">
        <v>319</v>
      </c>
      <c r="H8" s="2" t="s">
        <v>317</v>
      </c>
      <c r="I8" s="2" t="s">
        <v>319</v>
      </c>
      <c r="J8" s="2" t="s">
        <v>317</v>
      </c>
      <c r="K8" s="2" t="s">
        <v>317</v>
      </c>
      <c r="L8" s="2" t="s">
        <v>317</v>
      </c>
      <c r="M8" s="2" t="s">
        <v>317</v>
      </c>
      <c r="N8" s="2" t="s">
        <v>320</v>
      </c>
      <c r="O8" s="2" t="s">
        <v>317</v>
      </c>
      <c r="P8" s="2" t="s">
        <v>317</v>
      </c>
      <c r="Q8" s="2" t="s">
        <v>320</v>
      </c>
      <c r="R8" s="2" t="s">
        <v>317</v>
      </c>
      <c r="S8" s="2" t="s">
        <v>317</v>
      </c>
      <c r="T8" s="2" t="s">
        <v>317</v>
      </c>
      <c r="U8" s="2" t="s">
        <v>317</v>
      </c>
      <c r="V8" s="2" t="s">
        <v>317</v>
      </c>
      <c r="W8" s="2" t="s">
        <v>320</v>
      </c>
      <c r="X8" s="2" t="s">
        <v>318</v>
      </c>
      <c r="Y8" s="2" t="s">
        <v>319</v>
      </c>
      <c r="Z8" s="2" t="s">
        <v>318</v>
      </c>
      <c r="AA8" s="2" t="s">
        <v>317</v>
      </c>
      <c r="AB8" s="2" t="s">
        <v>317</v>
      </c>
      <c r="AC8" s="2" t="s">
        <v>317</v>
      </c>
      <c r="AD8" s="2" t="s">
        <v>320</v>
      </c>
    </row>
    <row r="9" spans="1:30" x14ac:dyDescent="0.3">
      <c r="A9" s="2" t="s">
        <v>42</v>
      </c>
      <c r="B9" s="2" t="s">
        <v>43</v>
      </c>
      <c r="C9" s="2" t="s">
        <v>317</v>
      </c>
      <c r="D9" s="2" t="s">
        <v>317</v>
      </c>
      <c r="E9" s="2" t="s">
        <v>317</v>
      </c>
      <c r="F9" s="2" t="s">
        <v>317</v>
      </c>
      <c r="G9" s="2" t="s">
        <v>317</v>
      </c>
      <c r="H9" s="2" t="s">
        <v>317</v>
      </c>
      <c r="I9" s="2" t="s">
        <v>317</v>
      </c>
      <c r="J9" s="2" t="s">
        <v>317</v>
      </c>
      <c r="K9" s="2" t="s">
        <v>317</v>
      </c>
      <c r="L9" s="2" t="s">
        <v>317</v>
      </c>
      <c r="M9" s="2" t="s">
        <v>317</v>
      </c>
      <c r="N9" s="2" t="s">
        <v>320</v>
      </c>
      <c r="O9" s="2" t="s">
        <v>317</v>
      </c>
      <c r="P9" s="2" t="s">
        <v>317</v>
      </c>
      <c r="Q9" s="2" t="s">
        <v>318</v>
      </c>
      <c r="R9" s="2" t="s">
        <v>317</v>
      </c>
      <c r="S9" s="2" t="s">
        <v>317</v>
      </c>
      <c r="T9" s="2" t="s">
        <v>317</v>
      </c>
      <c r="U9" s="2" t="s">
        <v>317</v>
      </c>
      <c r="V9" s="2" t="s">
        <v>317</v>
      </c>
      <c r="W9" s="2" t="s">
        <v>317</v>
      </c>
      <c r="X9" s="2" t="s">
        <v>320</v>
      </c>
      <c r="Y9" s="2" t="s">
        <v>317</v>
      </c>
      <c r="Z9" s="2" t="s">
        <v>317</v>
      </c>
      <c r="AA9" s="2" t="s">
        <v>317</v>
      </c>
      <c r="AB9" s="2" t="s">
        <v>317</v>
      </c>
      <c r="AC9" s="2" t="s">
        <v>317</v>
      </c>
      <c r="AD9" s="2" t="s">
        <v>317</v>
      </c>
    </row>
    <row r="10" spans="1:30" x14ac:dyDescent="0.3">
      <c r="A10" s="2" t="s">
        <v>46</v>
      </c>
      <c r="B10" s="2" t="s">
        <v>47</v>
      </c>
      <c r="C10" s="2" t="s">
        <v>317</v>
      </c>
      <c r="D10" s="2" t="s">
        <v>319</v>
      </c>
      <c r="E10" s="2" t="s">
        <v>317</v>
      </c>
      <c r="F10" s="2" t="s">
        <v>317</v>
      </c>
      <c r="G10" s="2" t="s">
        <v>317</v>
      </c>
      <c r="H10" s="2" t="s">
        <v>317</v>
      </c>
      <c r="I10" s="2" t="s">
        <v>317</v>
      </c>
      <c r="J10" s="2" t="s">
        <v>317</v>
      </c>
      <c r="K10" s="2" t="s">
        <v>317</v>
      </c>
      <c r="L10" s="2" t="s">
        <v>317</v>
      </c>
      <c r="M10" s="2" t="s">
        <v>317</v>
      </c>
      <c r="N10" s="2" t="s">
        <v>317</v>
      </c>
      <c r="O10" s="2" t="s">
        <v>317</v>
      </c>
      <c r="P10" s="2" t="s">
        <v>317</v>
      </c>
      <c r="Q10" s="2" t="s">
        <v>317</v>
      </c>
      <c r="R10" s="2" t="s">
        <v>317</v>
      </c>
      <c r="S10" s="2" t="s">
        <v>317</v>
      </c>
      <c r="T10" s="2" t="s">
        <v>317</v>
      </c>
      <c r="U10" s="2" t="s">
        <v>317</v>
      </c>
      <c r="V10" s="2" t="s">
        <v>318</v>
      </c>
      <c r="W10" s="2" t="s">
        <v>317</v>
      </c>
      <c r="X10" s="2" t="s">
        <v>317</v>
      </c>
      <c r="Y10" s="2" t="s">
        <v>317</v>
      </c>
      <c r="Z10" s="2" t="s">
        <v>317</v>
      </c>
      <c r="AA10" s="2" t="s">
        <v>317</v>
      </c>
      <c r="AB10" s="2" t="s">
        <v>319</v>
      </c>
      <c r="AC10" s="2" t="s">
        <v>319</v>
      </c>
      <c r="AD10" s="2" t="s">
        <v>317</v>
      </c>
    </row>
    <row r="11" spans="1:30" x14ac:dyDescent="0.3">
      <c r="A11" s="2" t="s">
        <v>50</v>
      </c>
      <c r="B11" s="2" t="s">
        <v>51</v>
      </c>
      <c r="C11" s="2" t="s">
        <v>317</v>
      </c>
      <c r="D11" s="2" t="s">
        <v>317</v>
      </c>
      <c r="E11" s="2" t="s">
        <v>317</v>
      </c>
      <c r="F11" s="2" t="s">
        <v>318</v>
      </c>
      <c r="G11" s="2" t="s">
        <v>317</v>
      </c>
      <c r="H11" s="2" t="s">
        <v>317</v>
      </c>
      <c r="I11" s="2" t="s">
        <v>317</v>
      </c>
      <c r="J11" s="2" t="s">
        <v>317</v>
      </c>
      <c r="K11" s="2" t="s">
        <v>317</v>
      </c>
      <c r="L11" s="2" t="s">
        <v>320</v>
      </c>
      <c r="M11" s="2" t="s">
        <v>317</v>
      </c>
      <c r="N11" s="2" t="s">
        <v>317</v>
      </c>
      <c r="O11" s="2" t="s">
        <v>317</v>
      </c>
      <c r="P11" s="2" t="s">
        <v>317</v>
      </c>
      <c r="Q11" s="2" t="s">
        <v>317</v>
      </c>
      <c r="R11" s="2" t="s">
        <v>317</v>
      </c>
      <c r="S11" s="2" t="s">
        <v>320</v>
      </c>
      <c r="T11" s="2" t="s">
        <v>317</v>
      </c>
      <c r="U11" s="2" t="s">
        <v>317</v>
      </c>
      <c r="V11" s="2" t="s">
        <v>317</v>
      </c>
      <c r="W11" s="2" t="s">
        <v>317</v>
      </c>
      <c r="X11" s="2" t="s">
        <v>317</v>
      </c>
      <c r="Y11" s="2" t="s">
        <v>317</v>
      </c>
      <c r="Z11" s="2" t="s">
        <v>317</v>
      </c>
      <c r="AA11" s="2" t="s">
        <v>317</v>
      </c>
      <c r="AB11" s="2" t="s">
        <v>317</v>
      </c>
      <c r="AC11" s="2" t="s">
        <v>317</v>
      </c>
      <c r="AD11" s="2" t="s">
        <v>317</v>
      </c>
    </row>
    <row r="12" spans="1:30" x14ac:dyDescent="0.3">
      <c r="A12" s="2" t="s">
        <v>54</v>
      </c>
      <c r="B12" s="2" t="s">
        <v>55</v>
      </c>
      <c r="C12" s="2" t="s">
        <v>318</v>
      </c>
      <c r="D12" s="2" t="s">
        <v>317</v>
      </c>
      <c r="E12" s="2" t="s">
        <v>317</v>
      </c>
      <c r="F12" s="2" t="s">
        <v>317</v>
      </c>
      <c r="G12" s="2" t="s">
        <v>317</v>
      </c>
      <c r="H12" s="2" t="s">
        <v>317</v>
      </c>
      <c r="I12" s="2" t="s">
        <v>317</v>
      </c>
      <c r="J12" s="2" t="s">
        <v>317</v>
      </c>
      <c r="K12" s="2" t="s">
        <v>317</v>
      </c>
      <c r="L12" s="2" t="s">
        <v>317</v>
      </c>
      <c r="M12" s="2" t="s">
        <v>317</v>
      </c>
      <c r="N12" s="2" t="s">
        <v>317</v>
      </c>
      <c r="O12" s="2" t="s">
        <v>317</v>
      </c>
      <c r="P12" s="2" t="s">
        <v>320</v>
      </c>
      <c r="Q12" s="2" t="s">
        <v>317</v>
      </c>
      <c r="R12" s="2" t="s">
        <v>317</v>
      </c>
      <c r="S12" s="2" t="s">
        <v>317</v>
      </c>
      <c r="T12" s="2" t="s">
        <v>317</v>
      </c>
      <c r="U12" s="2" t="s">
        <v>317</v>
      </c>
      <c r="V12" s="2" t="s">
        <v>317</v>
      </c>
      <c r="W12" s="2" t="s">
        <v>317</v>
      </c>
      <c r="X12" s="2" t="s">
        <v>317</v>
      </c>
      <c r="Y12" s="2" t="s">
        <v>317</v>
      </c>
      <c r="Z12" s="2" t="s">
        <v>317</v>
      </c>
      <c r="AA12" s="2" t="s">
        <v>317</v>
      </c>
      <c r="AB12" s="2" t="s">
        <v>317</v>
      </c>
      <c r="AC12" s="2" t="s">
        <v>317</v>
      </c>
      <c r="AD12" s="2" t="s">
        <v>317</v>
      </c>
    </row>
    <row r="13" spans="1:30" x14ac:dyDescent="0.3">
      <c r="A13" s="2" t="s">
        <v>58</v>
      </c>
      <c r="B13" s="2" t="s">
        <v>59</v>
      </c>
      <c r="C13" s="2" t="s">
        <v>317</v>
      </c>
      <c r="D13" s="2" t="s">
        <v>317</v>
      </c>
      <c r="E13" s="2" t="s">
        <v>317</v>
      </c>
      <c r="F13" s="2" t="s">
        <v>317</v>
      </c>
      <c r="G13" s="2" t="s">
        <v>317</v>
      </c>
      <c r="H13" s="2" t="s">
        <v>319</v>
      </c>
      <c r="I13" s="2" t="s">
        <v>317</v>
      </c>
      <c r="J13" s="2" t="s">
        <v>317</v>
      </c>
      <c r="K13" s="2" t="s">
        <v>317</v>
      </c>
      <c r="L13" s="2" t="s">
        <v>317</v>
      </c>
      <c r="M13" s="2" t="s">
        <v>317</v>
      </c>
      <c r="N13" s="2" t="s">
        <v>317</v>
      </c>
      <c r="O13" s="2" t="s">
        <v>317</v>
      </c>
      <c r="P13" s="2" t="s">
        <v>317</v>
      </c>
      <c r="Q13" s="2" t="s">
        <v>318</v>
      </c>
      <c r="R13" s="2" t="s">
        <v>317</v>
      </c>
      <c r="S13" s="2" t="s">
        <v>317</v>
      </c>
      <c r="T13" s="2" t="s">
        <v>317</v>
      </c>
      <c r="U13" s="2" t="s">
        <v>317</v>
      </c>
      <c r="V13" s="2" t="s">
        <v>317</v>
      </c>
      <c r="W13" s="2" t="s">
        <v>317</v>
      </c>
      <c r="X13" s="2" t="s">
        <v>319</v>
      </c>
      <c r="Y13" s="2" t="s">
        <v>317</v>
      </c>
      <c r="Z13" s="2" t="s">
        <v>319</v>
      </c>
      <c r="AA13" s="2" t="s">
        <v>317</v>
      </c>
      <c r="AB13" s="2" t="s">
        <v>317</v>
      </c>
      <c r="AC13" s="2" t="s">
        <v>317</v>
      </c>
      <c r="AD13" s="2" t="s">
        <v>317</v>
      </c>
    </row>
    <row r="14" spans="1:30" x14ac:dyDescent="0.3">
      <c r="A14" s="2" t="s">
        <v>60</v>
      </c>
      <c r="B14" s="2" t="s">
        <v>61</v>
      </c>
      <c r="C14" s="2" t="s">
        <v>317</v>
      </c>
      <c r="D14" s="2" t="s">
        <v>320</v>
      </c>
      <c r="E14" s="2" t="s">
        <v>317</v>
      </c>
      <c r="F14" s="2" t="s">
        <v>317</v>
      </c>
      <c r="G14" s="2" t="s">
        <v>317</v>
      </c>
      <c r="H14" s="2" t="s">
        <v>319</v>
      </c>
      <c r="I14" s="2" t="s">
        <v>317</v>
      </c>
      <c r="J14" s="2" t="s">
        <v>317</v>
      </c>
      <c r="K14" s="2" t="s">
        <v>319</v>
      </c>
      <c r="L14" s="2" t="s">
        <v>317</v>
      </c>
      <c r="M14" s="2" t="s">
        <v>317</v>
      </c>
      <c r="N14" s="2" t="s">
        <v>319</v>
      </c>
      <c r="O14" s="2" t="s">
        <v>317</v>
      </c>
      <c r="P14" s="2" t="s">
        <v>317</v>
      </c>
      <c r="Q14" s="2" t="s">
        <v>317</v>
      </c>
      <c r="R14" s="2" t="s">
        <v>317</v>
      </c>
      <c r="S14" s="2" t="s">
        <v>317</v>
      </c>
      <c r="T14" s="2" t="s">
        <v>317</v>
      </c>
      <c r="U14" s="2" t="s">
        <v>317</v>
      </c>
      <c r="V14" s="2" t="s">
        <v>317</v>
      </c>
      <c r="W14" s="2" t="s">
        <v>317</v>
      </c>
      <c r="X14" s="2" t="s">
        <v>318</v>
      </c>
      <c r="Y14" s="2" t="s">
        <v>317</v>
      </c>
      <c r="Z14" s="2" t="s">
        <v>317</v>
      </c>
      <c r="AA14" s="2" t="s">
        <v>317</v>
      </c>
      <c r="AB14" s="2" t="s">
        <v>317</v>
      </c>
      <c r="AC14" s="2" t="s">
        <v>317</v>
      </c>
      <c r="AD14" s="2" t="s">
        <v>317</v>
      </c>
    </row>
    <row r="15" spans="1:30" x14ac:dyDescent="0.3">
      <c r="A15" s="2" t="s">
        <v>64</v>
      </c>
      <c r="B15" s="2" t="s">
        <v>65</v>
      </c>
      <c r="C15" s="2" t="s">
        <v>317</v>
      </c>
      <c r="D15" s="2" t="s">
        <v>317</v>
      </c>
      <c r="E15" s="2" t="s">
        <v>317</v>
      </c>
      <c r="F15" s="2" t="s">
        <v>317</v>
      </c>
      <c r="G15" s="2" t="s">
        <v>317</v>
      </c>
      <c r="H15" s="2" t="s">
        <v>317</v>
      </c>
      <c r="I15" s="2" t="s">
        <v>317</v>
      </c>
      <c r="J15" s="2" t="s">
        <v>320</v>
      </c>
      <c r="K15" s="2" t="s">
        <v>317</v>
      </c>
      <c r="L15" s="2" t="s">
        <v>317</v>
      </c>
      <c r="M15" s="2" t="s">
        <v>317</v>
      </c>
      <c r="N15" s="2" t="s">
        <v>317</v>
      </c>
      <c r="O15" s="2" t="s">
        <v>317</v>
      </c>
      <c r="P15" s="2" t="s">
        <v>317</v>
      </c>
      <c r="Q15" s="2" t="s">
        <v>317</v>
      </c>
      <c r="R15" s="2" t="s">
        <v>317</v>
      </c>
      <c r="S15" s="2" t="s">
        <v>320</v>
      </c>
      <c r="T15" s="2" t="s">
        <v>317</v>
      </c>
      <c r="U15" s="2" t="s">
        <v>317</v>
      </c>
      <c r="V15" s="2" t="s">
        <v>317</v>
      </c>
      <c r="W15" s="2" t="s">
        <v>317</v>
      </c>
      <c r="X15" s="2" t="s">
        <v>317</v>
      </c>
      <c r="Y15" s="2" t="s">
        <v>318</v>
      </c>
      <c r="Z15" s="2" t="s">
        <v>317</v>
      </c>
      <c r="AA15" s="2" t="s">
        <v>317</v>
      </c>
      <c r="AB15" s="2" t="s">
        <v>320</v>
      </c>
      <c r="AC15" s="2" t="s">
        <v>317</v>
      </c>
      <c r="AD15" s="2" t="s">
        <v>317</v>
      </c>
    </row>
    <row r="16" spans="1:30" x14ac:dyDescent="0.3">
      <c r="A16" s="2" t="s">
        <v>66</v>
      </c>
      <c r="B16" s="2" t="s">
        <v>67</v>
      </c>
      <c r="C16" s="2" t="s">
        <v>320</v>
      </c>
      <c r="D16" s="2" t="s">
        <v>317</v>
      </c>
      <c r="E16" s="2" t="s">
        <v>317</v>
      </c>
      <c r="F16" s="2" t="s">
        <v>317</v>
      </c>
      <c r="G16" s="2" t="s">
        <v>317</v>
      </c>
      <c r="H16" s="2" t="s">
        <v>317</v>
      </c>
      <c r="I16" s="2" t="s">
        <v>317</v>
      </c>
      <c r="J16" s="2" t="s">
        <v>317</v>
      </c>
      <c r="K16" s="2" t="s">
        <v>317</v>
      </c>
      <c r="L16" s="2" t="s">
        <v>317</v>
      </c>
      <c r="M16" s="2" t="s">
        <v>317</v>
      </c>
      <c r="N16" s="2" t="s">
        <v>317</v>
      </c>
      <c r="O16" s="2" t="s">
        <v>317</v>
      </c>
      <c r="P16" s="2" t="s">
        <v>317</v>
      </c>
      <c r="Q16" s="2" t="s">
        <v>317</v>
      </c>
      <c r="R16" s="2" t="s">
        <v>317</v>
      </c>
      <c r="S16" s="2" t="s">
        <v>317</v>
      </c>
      <c r="T16" s="2" t="s">
        <v>317</v>
      </c>
      <c r="U16" s="2" t="s">
        <v>317</v>
      </c>
      <c r="V16" s="2" t="s">
        <v>317</v>
      </c>
      <c r="W16" s="2" t="s">
        <v>317</v>
      </c>
      <c r="X16" s="2" t="s">
        <v>320</v>
      </c>
      <c r="Y16" s="2" t="s">
        <v>317</v>
      </c>
      <c r="Z16" s="2" t="s">
        <v>317</v>
      </c>
      <c r="AA16" s="2" t="s">
        <v>317</v>
      </c>
      <c r="AB16" s="2" t="s">
        <v>317</v>
      </c>
      <c r="AC16" s="2" t="s">
        <v>317</v>
      </c>
      <c r="AD16" s="2" t="s">
        <v>317</v>
      </c>
    </row>
    <row r="17" spans="1:30" x14ac:dyDescent="0.3">
      <c r="A17" s="2" t="s">
        <v>68</v>
      </c>
      <c r="B17" s="2" t="s">
        <v>69</v>
      </c>
      <c r="C17" s="2" t="s">
        <v>317</v>
      </c>
      <c r="D17" s="2" t="s">
        <v>317</v>
      </c>
      <c r="E17" s="2" t="s">
        <v>318</v>
      </c>
      <c r="F17" s="2" t="s">
        <v>317</v>
      </c>
      <c r="G17" s="2" t="s">
        <v>317</v>
      </c>
      <c r="H17" s="2" t="s">
        <v>317</v>
      </c>
      <c r="I17" s="2" t="s">
        <v>317</v>
      </c>
      <c r="J17" s="2" t="s">
        <v>317</v>
      </c>
      <c r="K17" s="2" t="s">
        <v>317</v>
      </c>
      <c r="L17" s="2" t="s">
        <v>317</v>
      </c>
      <c r="M17" s="2" t="s">
        <v>319</v>
      </c>
      <c r="N17" s="2" t="s">
        <v>317</v>
      </c>
      <c r="O17" s="2" t="s">
        <v>317</v>
      </c>
      <c r="P17" s="2" t="s">
        <v>320</v>
      </c>
      <c r="Q17" s="2" t="s">
        <v>317</v>
      </c>
      <c r="R17" s="2" t="s">
        <v>317</v>
      </c>
      <c r="S17" s="2" t="s">
        <v>317</v>
      </c>
      <c r="T17" s="2" t="s">
        <v>317</v>
      </c>
      <c r="U17" s="2" t="s">
        <v>317</v>
      </c>
      <c r="V17" s="2" t="s">
        <v>317</v>
      </c>
      <c r="W17" s="2" t="s">
        <v>320</v>
      </c>
      <c r="X17" s="2" t="s">
        <v>317</v>
      </c>
      <c r="Y17" s="2" t="s">
        <v>317</v>
      </c>
      <c r="Z17" s="2" t="s">
        <v>317</v>
      </c>
      <c r="AA17" s="2" t="s">
        <v>320</v>
      </c>
      <c r="AB17" s="2" t="s">
        <v>317</v>
      </c>
      <c r="AC17" s="2" t="s">
        <v>317</v>
      </c>
      <c r="AD17" s="2" t="s">
        <v>317</v>
      </c>
    </row>
    <row r="18" spans="1:30" x14ac:dyDescent="0.3">
      <c r="A18" s="2" t="s">
        <v>72</v>
      </c>
      <c r="B18" s="2" t="s">
        <v>73</v>
      </c>
      <c r="C18" s="2" t="s">
        <v>317</v>
      </c>
      <c r="D18" s="2" t="s">
        <v>317</v>
      </c>
      <c r="E18" s="2" t="s">
        <v>317</v>
      </c>
      <c r="F18" s="2" t="s">
        <v>317</v>
      </c>
      <c r="G18" s="2" t="s">
        <v>317</v>
      </c>
      <c r="H18" s="2" t="s">
        <v>318</v>
      </c>
      <c r="I18" s="2" t="s">
        <v>317</v>
      </c>
      <c r="J18" s="2" t="s">
        <v>319</v>
      </c>
      <c r="K18" s="2" t="s">
        <v>317</v>
      </c>
      <c r="L18" s="2" t="s">
        <v>317</v>
      </c>
      <c r="M18" s="2" t="s">
        <v>317</v>
      </c>
      <c r="N18" s="2" t="s">
        <v>317</v>
      </c>
      <c r="O18" s="2" t="s">
        <v>317</v>
      </c>
      <c r="P18" s="2" t="s">
        <v>317</v>
      </c>
      <c r="Q18" s="2" t="s">
        <v>317</v>
      </c>
      <c r="R18" s="2" t="s">
        <v>317</v>
      </c>
      <c r="S18" s="2" t="s">
        <v>317</v>
      </c>
      <c r="T18" s="2" t="s">
        <v>317</v>
      </c>
      <c r="U18" s="2" t="s">
        <v>317</v>
      </c>
      <c r="V18" s="2" t="s">
        <v>317</v>
      </c>
      <c r="W18" s="2" t="s">
        <v>317</v>
      </c>
      <c r="X18" s="2" t="s">
        <v>318</v>
      </c>
      <c r="Y18" s="2" t="s">
        <v>317</v>
      </c>
      <c r="Z18" s="2" t="s">
        <v>317</v>
      </c>
      <c r="AA18" s="2" t="s">
        <v>317</v>
      </c>
      <c r="AB18" s="2" t="s">
        <v>320</v>
      </c>
      <c r="AC18" s="2" t="s">
        <v>319</v>
      </c>
      <c r="AD18" s="2" t="s">
        <v>317</v>
      </c>
    </row>
    <row r="19" spans="1:30" x14ac:dyDescent="0.3">
      <c r="A19" s="2" t="s">
        <v>75</v>
      </c>
      <c r="B19" s="2" t="s">
        <v>76</v>
      </c>
      <c r="C19" s="2" t="s">
        <v>317</v>
      </c>
      <c r="D19" s="2" t="s">
        <v>320</v>
      </c>
      <c r="E19" s="2" t="s">
        <v>317</v>
      </c>
      <c r="F19" s="2" t="s">
        <v>318</v>
      </c>
      <c r="G19" s="2" t="s">
        <v>317</v>
      </c>
      <c r="H19" s="2" t="s">
        <v>317</v>
      </c>
      <c r="I19" s="2" t="s">
        <v>318</v>
      </c>
      <c r="J19" s="2" t="s">
        <v>320</v>
      </c>
      <c r="K19" s="2" t="s">
        <v>317</v>
      </c>
      <c r="L19" s="2" t="s">
        <v>317</v>
      </c>
      <c r="M19" s="2" t="s">
        <v>319</v>
      </c>
      <c r="N19" s="2" t="s">
        <v>317</v>
      </c>
      <c r="O19" s="2" t="s">
        <v>317</v>
      </c>
      <c r="P19" s="2" t="s">
        <v>317</v>
      </c>
      <c r="Q19" s="2" t="s">
        <v>317</v>
      </c>
      <c r="R19" s="2" t="s">
        <v>317</v>
      </c>
      <c r="S19" s="2" t="s">
        <v>318</v>
      </c>
      <c r="T19" s="2" t="s">
        <v>318</v>
      </c>
      <c r="U19" s="2" t="s">
        <v>317</v>
      </c>
      <c r="V19" s="2" t="s">
        <v>319</v>
      </c>
      <c r="W19" s="2" t="s">
        <v>317</v>
      </c>
      <c r="X19" s="2" t="s">
        <v>317</v>
      </c>
      <c r="Y19" s="2" t="s">
        <v>318</v>
      </c>
      <c r="Z19" s="2" t="s">
        <v>317</v>
      </c>
      <c r="AA19" s="2" t="s">
        <v>317</v>
      </c>
      <c r="AB19" s="2" t="s">
        <v>317</v>
      </c>
      <c r="AC19" s="2" t="s">
        <v>317</v>
      </c>
      <c r="AD19" s="2" t="s">
        <v>320</v>
      </c>
    </row>
    <row r="20" spans="1:30" x14ac:dyDescent="0.3">
      <c r="A20" s="2" t="s">
        <v>77</v>
      </c>
      <c r="B20" s="2" t="s">
        <v>73</v>
      </c>
      <c r="C20" s="2" t="s">
        <v>317</v>
      </c>
      <c r="D20" s="2" t="s">
        <v>317</v>
      </c>
      <c r="E20" s="2" t="s">
        <v>317</v>
      </c>
      <c r="F20" s="2" t="s">
        <v>317</v>
      </c>
      <c r="G20" s="2" t="s">
        <v>317</v>
      </c>
      <c r="H20" s="2" t="s">
        <v>317</v>
      </c>
      <c r="I20" s="2" t="s">
        <v>318</v>
      </c>
      <c r="J20" s="2" t="s">
        <v>317</v>
      </c>
      <c r="K20" s="2" t="s">
        <v>317</v>
      </c>
      <c r="L20" s="2" t="s">
        <v>317</v>
      </c>
      <c r="M20" s="2" t="s">
        <v>320</v>
      </c>
      <c r="N20" s="2" t="s">
        <v>317</v>
      </c>
      <c r="O20" s="2" t="s">
        <v>317</v>
      </c>
      <c r="P20" s="2" t="s">
        <v>319</v>
      </c>
      <c r="Q20" s="2" t="s">
        <v>318</v>
      </c>
      <c r="R20" s="2" t="s">
        <v>319</v>
      </c>
      <c r="S20" s="2" t="s">
        <v>317</v>
      </c>
      <c r="T20" s="2" t="s">
        <v>317</v>
      </c>
      <c r="U20" s="2" t="s">
        <v>320</v>
      </c>
      <c r="V20" s="2" t="s">
        <v>317</v>
      </c>
      <c r="W20" s="2" t="s">
        <v>317</v>
      </c>
      <c r="X20" s="2" t="s">
        <v>317</v>
      </c>
      <c r="Y20" s="2" t="s">
        <v>317</v>
      </c>
      <c r="Z20" s="2" t="s">
        <v>318</v>
      </c>
      <c r="AA20" s="2" t="s">
        <v>317</v>
      </c>
      <c r="AB20" s="2" t="s">
        <v>317</v>
      </c>
      <c r="AC20" s="2" t="s">
        <v>317</v>
      </c>
      <c r="AD20" s="2" t="s">
        <v>318</v>
      </c>
    </row>
    <row r="21" spans="1:30" x14ac:dyDescent="0.3">
      <c r="A21" s="2" t="s">
        <v>78</v>
      </c>
      <c r="B21" s="2" t="s">
        <v>79</v>
      </c>
      <c r="C21" s="2" t="s">
        <v>317</v>
      </c>
      <c r="D21" s="2" t="s">
        <v>317</v>
      </c>
      <c r="E21" s="2" t="s">
        <v>320</v>
      </c>
      <c r="F21" s="2" t="s">
        <v>317</v>
      </c>
      <c r="G21" s="2" t="s">
        <v>317</v>
      </c>
      <c r="H21" s="2" t="s">
        <v>317</v>
      </c>
      <c r="I21" s="2" t="s">
        <v>317</v>
      </c>
      <c r="J21" s="2" t="s">
        <v>317</v>
      </c>
      <c r="K21" s="2" t="s">
        <v>317</v>
      </c>
      <c r="L21" s="2" t="s">
        <v>317</v>
      </c>
      <c r="M21" s="2" t="s">
        <v>319</v>
      </c>
      <c r="N21" s="2" t="s">
        <v>317</v>
      </c>
      <c r="O21" s="2" t="s">
        <v>317</v>
      </c>
      <c r="P21" s="2" t="s">
        <v>317</v>
      </c>
      <c r="Q21" s="2" t="s">
        <v>317</v>
      </c>
      <c r="R21" s="2" t="s">
        <v>317</v>
      </c>
      <c r="S21" s="2" t="s">
        <v>317</v>
      </c>
      <c r="T21" s="2" t="s">
        <v>317</v>
      </c>
      <c r="U21" s="2" t="s">
        <v>317</v>
      </c>
      <c r="V21" s="2" t="s">
        <v>317</v>
      </c>
      <c r="W21" s="2" t="s">
        <v>317</v>
      </c>
      <c r="X21" s="2" t="s">
        <v>320</v>
      </c>
      <c r="Y21" s="2" t="s">
        <v>317</v>
      </c>
      <c r="Z21" s="2" t="s">
        <v>317</v>
      </c>
      <c r="AA21" s="2" t="s">
        <v>317</v>
      </c>
      <c r="AB21" s="2" t="s">
        <v>317</v>
      </c>
      <c r="AC21" s="2" t="s">
        <v>317</v>
      </c>
      <c r="AD21" s="2" t="s">
        <v>317</v>
      </c>
    </row>
    <row r="22" spans="1:30" x14ac:dyDescent="0.3">
      <c r="A22" s="2" t="s">
        <v>80</v>
      </c>
      <c r="B22" s="2" t="s">
        <v>81</v>
      </c>
      <c r="C22" s="2" t="s">
        <v>317</v>
      </c>
      <c r="D22" s="2" t="s">
        <v>317</v>
      </c>
      <c r="E22" s="2" t="s">
        <v>317</v>
      </c>
      <c r="F22" s="2" t="s">
        <v>317</v>
      </c>
      <c r="G22" s="2" t="s">
        <v>320</v>
      </c>
      <c r="H22" s="2" t="s">
        <v>317</v>
      </c>
      <c r="I22" s="2" t="s">
        <v>317</v>
      </c>
      <c r="J22" s="2" t="s">
        <v>317</v>
      </c>
      <c r="K22" s="2" t="s">
        <v>317</v>
      </c>
      <c r="L22" s="2" t="s">
        <v>317</v>
      </c>
      <c r="M22" s="2" t="s">
        <v>317</v>
      </c>
      <c r="N22" s="2" t="s">
        <v>317</v>
      </c>
      <c r="O22" s="2" t="s">
        <v>317</v>
      </c>
      <c r="P22" s="2" t="s">
        <v>317</v>
      </c>
      <c r="Q22" s="2" t="s">
        <v>318</v>
      </c>
      <c r="R22" s="2" t="s">
        <v>317</v>
      </c>
      <c r="S22" s="2" t="s">
        <v>317</v>
      </c>
      <c r="T22" s="2" t="s">
        <v>318</v>
      </c>
      <c r="U22" s="2" t="s">
        <v>317</v>
      </c>
      <c r="V22" s="2" t="s">
        <v>317</v>
      </c>
      <c r="W22" s="2" t="s">
        <v>317</v>
      </c>
      <c r="X22" s="2" t="s">
        <v>317</v>
      </c>
      <c r="Y22" s="2" t="s">
        <v>317</v>
      </c>
      <c r="Z22" s="2" t="s">
        <v>318</v>
      </c>
      <c r="AA22" s="2" t="s">
        <v>317</v>
      </c>
      <c r="AB22" s="2" t="s">
        <v>317</v>
      </c>
      <c r="AC22" s="2" t="s">
        <v>317</v>
      </c>
      <c r="AD22" s="2" t="s">
        <v>317</v>
      </c>
    </row>
    <row r="23" spans="1:30" x14ac:dyDescent="0.3">
      <c r="A23" s="2" t="s">
        <v>82</v>
      </c>
      <c r="B23" s="2" t="s">
        <v>83</v>
      </c>
      <c r="C23" s="2" t="s">
        <v>317</v>
      </c>
      <c r="D23" s="2" t="s">
        <v>317</v>
      </c>
      <c r="E23" s="2" t="s">
        <v>317</v>
      </c>
      <c r="F23" s="2" t="s">
        <v>317</v>
      </c>
      <c r="G23" s="2" t="s">
        <v>317</v>
      </c>
      <c r="H23" s="2" t="s">
        <v>317</v>
      </c>
      <c r="I23" s="2" t="s">
        <v>317</v>
      </c>
      <c r="J23" s="2" t="s">
        <v>317</v>
      </c>
      <c r="K23" s="2" t="s">
        <v>317</v>
      </c>
      <c r="L23" s="2" t="s">
        <v>317</v>
      </c>
      <c r="M23" s="2" t="s">
        <v>317</v>
      </c>
      <c r="N23" s="2" t="s">
        <v>317</v>
      </c>
      <c r="O23" s="2" t="s">
        <v>317</v>
      </c>
      <c r="P23" s="2" t="s">
        <v>317</v>
      </c>
      <c r="Q23" s="2" t="s">
        <v>317</v>
      </c>
      <c r="R23" s="2" t="s">
        <v>317</v>
      </c>
      <c r="S23" s="2" t="s">
        <v>317</v>
      </c>
      <c r="T23" s="2" t="s">
        <v>317</v>
      </c>
      <c r="U23" s="2" t="s">
        <v>317</v>
      </c>
      <c r="V23" s="2" t="s">
        <v>317</v>
      </c>
      <c r="W23" s="2" t="s">
        <v>319</v>
      </c>
      <c r="X23" s="2" t="s">
        <v>317</v>
      </c>
      <c r="Y23" s="2" t="s">
        <v>317</v>
      </c>
      <c r="Z23" s="2" t="s">
        <v>317</v>
      </c>
      <c r="AA23" s="2" t="s">
        <v>317</v>
      </c>
      <c r="AB23" s="2" t="s">
        <v>317</v>
      </c>
      <c r="AC23" s="2" t="s">
        <v>317</v>
      </c>
      <c r="AD23" s="2" t="s">
        <v>317</v>
      </c>
    </row>
    <row r="24" spans="1:30" x14ac:dyDescent="0.3">
      <c r="A24" s="2" t="s">
        <v>84</v>
      </c>
      <c r="B24" s="2" t="s">
        <v>85</v>
      </c>
      <c r="C24" s="2" t="s">
        <v>317</v>
      </c>
      <c r="D24" s="2" t="s">
        <v>317</v>
      </c>
      <c r="E24" s="2" t="s">
        <v>317</v>
      </c>
      <c r="F24" s="2" t="s">
        <v>317</v>
      </c>
      <c r="G24" s="2" t="s">
        <v>317</v>
      </c>
      <c r="H24" s="2" t="s">
        <v>318</v>
      </c>
      <c r="I24" s="2" t="s">
        <v>317</v>
      </c>
      <c r="J24" s="2" t="s">
        <v>317</v>
      </c>
      <c r="K24" s="2" t="s">
        <v>317</v>
      </c>
      <c r="L24" s="2" t="s">
        <v>317</v>
      </c>
      <c r="M24" s="2" t="s">
        <v>317</v>
      </c>
      <c r="N24" s="2" t="s">
        <v>317</v>
      </c>
      <c r="O24" s="2" t="s">
        <v>317</v>
      </c>
      <c r="P24" s="2" t="s">
        <v>317</v>
      </c>
      <c r="Q24" s="2" t="s">
        <v>320</v>
      </c>
      <c r="R24" s="2" t="s">
        <v>317</v>
      </c>
      <c r="S24" s="2" t="s">
        <v>317</v>
      </c>
      <c r="T24" s="2" t="s">
        <v>317</v>
      </c>
      <c r="U24" s="2" t="s">
        <v>317</v>
      </c>
      <c r="V24" s="2" t="s">
        <v>317</v>
      </c>
      <c r="W24" s="2" t="s">
        <v>317</v>
      </c>
      <c r="X24" s="2" t="s">
        <v>317</v>
      </c>
      <c r="Y24" s="2" t="s">
        <v>317</v>
      </c>
      <c r="Z24" s="2" t="s">
        <v>318</v>
      </c>
      <c r="AA24" s="2" t="s">
        <v>317</v>
      </c>
      <c r="AB24" s="2" t="s">
        <v>317</v>
      </c>
      <c r="AC24" s="2" t="s">
        <v>317</v>
      </c>
      <c r="AD24" s="2" t="s">
        <v>317</v>
      </c>
    </row>
    <row r="25" spans="1:30" x14ac:dyDescent="0.3">
      <c r="A25" s="2" t="s">
        <v>86</v>
      </c>
      <c r="B25" s="2" t="s">
        <v>25</v>
      </c>
      <c r="C25" s="2" t="s">
        <v>317</v>
      </c>
      <c r="D25" s="2" t="s">
        <v>320</v>
      </c>
      <c r="E25" s="2" t="s">
        <v>317</v>
      </c>
      <c r="F25" s="2" t="s">
        <v>317</v>
      </c>
      <c r="G25" s="2" t="s">
        <v>317</v>
      </c>
      <c r="H25" s="2" t="s">
        <v>317</v>
      </c>
      <c r="I25" s="2" t="s">
        <v>317</v>
      </c>
      <c r="J25" s="2" t="s">
        <v>317</v>
      </c>
      <c r="K25" s="2" t="s">
        <v>317</v>
      </c>
      <c r="L25" s="2" t="s">
        <v>317</v>
      </c>
      <c r="M25" s="2" t="s">
        <v>317</v>
      </c>
      <c r="N25" s="2" t="s">
        <v>317</v>
      </c>
      <c r="O25" s="2" t="s">
        <v>317</v>
      </c>
      <c r="P25" s="2" t="s">
        <v>317</v>
      </c>
      <c r="Q25" s="2" t="s">
        <v>317</v>
      </c>
      <c r="R25" s="2" t="s">
        <v>317</v>
      </c>
      <c r="S25" s="2" t="s">
        <v>317</v>
      </c>
      <c r="T25" s="2" t="s">
        <v>317</v>
      </c>
      <c r="U25" s="2" t="s">
        <v>319</v>
      </c>
      <c r="V25" s="2" t="s">
        <v>317</v>
      </c>
      <c r="W25" s="2" t="s">
        <v>317</v>
      </c>
      <c r="X25" s="2" t="s">
        <v>317</v>
      </c>
      <c r="Y25" s="2" t="s">
        <v>317</v>
      </c>
      <c r="Z25" s="2" t="s">
        <v>319</v>
      </c>
      <c r="AA25" s="2" t="s">
        <v>317</v>
      </c>
      <c r="AB25" s="2" t="s">
        <v>317</v>
      </c>
      <c r="AC25" s="2" t="s">
        <v>317</v>
      </c>
      <c r="AD25" s="2" t="s">
        <v>317</v>
      </c>
    </row>
    <row r="26" spans="1:30" x14ac:dyDescent="0.3">
      <c r="A26" s="2" t="s">
        <v>87</v>
      </c>
      <c r="B26" s="2" t="s">
        <v>88</v>
      </c>
      <c r="C26" s="2" t="s">
        <v>320</v>
      </c>
      <c r="D26" s="2" t="s">
        <v>317</v>
      </c>
      <c r="E26" s="2" t="s">
        <v>317</v>
      </c>
      <c r="F26" s="2" t="s">
        <v>317</v>
      </c>
      <c r="G26" s="2" t="s">
        <v>317</v>
      </c>
      <c r="H26" s="2" t="s">
        <v>317</v>
      </c>
      <c r="I26" s="2" t="s">
        <v>317</v>
      </c>
      <c r="J26" s="2" t="s">
        <v>317</v>
      </c>
      <c r="K26" s="2" t="s">
        <v>317</v>
      </c>
      <c r="L26" s="2" t="s">
        <v>317</v>
      </c>
      <c r="M26" s="2" t="s">
        <v>317</v>
      </c>
      <c r="N26" s="2" t="s">
        <v>317</v>
      </c>
      <c r="O26" s="2" t="s">
        <v>317</v>
      </c>
      <c r="P26" s="2" t="s">
        <v>317</v>
      </c>
      <c r="Q26" s="2" t="s">
        <v>317</v>
      </c>
      <c r="R26" s="2" t="s">
        <v>317</v>
      </c>
      <c r="S26" s="2" t="s">
        <v>317</v>
      </c>
      <c r="T26" s="2" t="s">
        <v>317</v>
      </c>
      <c r="U26" s="2" t="s">
        <v>317</v>
      </c>
      <c r="V26" s="2" t="s">
        <v>317</v>
      </c>
      <c r="W26" s="2" t="s">
        <v>317</v>
      </c>
      <c r="X26" s="2" t="s">
        <v>317</v>
      </c>
      <c r="Y26" s="2" t="s">
        <v>317</v>
      </c>
      <c r="Z26" s="2" t="s">
        <v>317</v>
      </c>
      <c r="AA26" s="2" t="s">
        <v>317</v>
      </c>
      <c r="AB26" s="2" t="s">
        <v>317</v>
      </c>
      <c r="AC26" s="2" t="s">
        <v>317</v>
      </c>
      <c r="AD26" s="2" t="s">
        <v>317</v>
      </c>
    </row>
    <row r="27" spans="1:30" x14ac:dyDescent="0.3">
      <c r="A27" s="2" t="s">
        <v>89</v>
      </c>
      <c r="B27" s="2" t="s">
        <v>90</v>
      </c>
      <c r="C27" s="2" t="s">
        <v>318</v>
      </c>
      <c r="D27" s="2" t="s">
        <v>317</v>
      </c>
      <c r="E27" s="2" t="s">
        <v>317</v>
      </c>
      <c r="F27" s="2" t="s">
        <v>317</v>
      </c>
      <c r="G27" s="2" t="s">
        <v>317</v>
      </c>
      <c r="H27" s="2" t="s">
        <v>317</v>
      </c>
      <c r="I27" s="2" t="s">
        <v>317</v>
      </c>
      <c r="J27" s="2" t="s">
        <v>317</v>
      </c>
      <c r="K27" s="2" t="s">
        <v>320</v>
      </c>
      <c r="L27" s="2" t="s">
        <v>317</v>
      </c>
      <c r="M27" s="2" t="s">
        <v>317</v>
      </c>
      <c r="N27" s="2" t="s">
        <v>317</v>
      </c>
      <c r="O27" s="2" t="s">
        <v>317</v>
      </c>
      <c r="P27" s="2" t="s">
        <v>317</v>
      </c>
      <c r="Q27" s="2" t="s">
        <v>317</v>
      </c>
      <c r="R27" s="2" t="s">
        <v>317</v>
      </c>
      <c r="S27" s="2" t="s">
        <v>317</v>
      </c>
      <c r="T27" s="2" t="s">
        <v>317</v>
      </c>
      <c r="U27" s="2" t="s">
        <v>317</v>
      </c>
      <c r="V27" s="2" t="s">
        <v>317</v>
      </c>
      <c r="W27" s="2" t="s">
        <v>317</v>
      </c>
      <c r="X27" s="2" t="s">
        <v>317</v>
      </c>
      <c r="Y27" s="2" t="s">
        <v>317</v>
      </c>
      <c r="Z27" s="2" t="s">
        <v>317</v>
      </c>
      <c r="AA27" s="2" t="s">
        <v>317</v>
      </c>
      <c r="AB27" s="2" t="s">
        <v>317</v>
      </c>
      <c r="AC27" s="2" t="s">
        <v>317</v>
      </c>
      <c r="AD27" s="2" t="s">
        <v>317</v>
      </c>
    </row>
    <row r="28" spans="1:30" x14ac:dyDescent="0.3">
      <c r="A28" s="2" t="s">
        <v>91</v>
      </c>
      <c r="B28" s="2" t="s">
        <v>92</v>
      </c>
      <c r="C28" s="2" t="s">
        <v>317</v>
      </c>
      <c r="D28" s="2" t="s">
        <v>317</v>
      </c>
      <c r="E28" s="2" t="s">
        <v>317</v>
      </c>
      <c r="F28" s="2" t="s">
        <v>319</v>
      </c>
      <c r="G28" s="2" t="s">
        <v>317</v>
      </c>
      <c r="H28" s="2" t="s">
        <v>317</v>
      </c>
      <c r="I28" s="2" t="s">
        <v>320</v>
      </c>
      <c r="J28" s="2" t="s">
        <v>317</v>
      </c>
      <c r="K28" s="2" t="s">
        <v>319</v>
      </c>
      <c r="L28" s="2" t="s">
        <v>317</v>
      </c>
      <c r="M28" s="2" t="s">
        <v>319</v>
      </c>
      <c r="N28" s="2" t="s">
        <v>317</v>
      </c>
      <c r="O28" s="2" t="s">
        <v>317</v>
      </c>
      <c r="P28" s="2" t="s">
        <v>317</v>
      </c>
      <c r="Q28" s="2" t="s">
        <v>319</v>
      </c>
      <c r="R28" s="2" t="s">
        <v>317</v>
      </c>
      <c r="S28" s="2" t="s">
        <v>319</v>
      </c>
      <c r="T28" s="2" t="s">
        <v>317</v>
      </c>
      <c r="U28" s="2" t="s">
        <v>317</v>
      </c>
      <c r="V28" s="2" t="s">
        <v>317</v>
      </c>
      <c r="W28" s="2" t="s">
        <v>317</v>
      </c>
      <c r="X28" s="2" t="s">
        <v>317</v>
      </c>
      <c r="Y28" s="2" t="s">
        <v>317</v>
      </c>
      <c r="Z28" s="2" t="s">
        <v>317</v>
      </c>
      <c r="AA28" s="2" t="s">
        <v>317</v>
      </c>
      <c r="AB28" s="2" t="s">
        <v>317</v>
      </c>
      <c r="AC28" s="2" t="s">
        <v>317</v>
      </c>
      <c r="AD28" s="2" t="s">
        <v>317</v>
      </c>
    </row>
    <row r="29" spans="1:30" x14ac:dyDescent="0.3">
      <c r="A29" s="2" t="s">
        <v>93</v>
      </c>
      <c r="B29" s="2" t="s">
        <v>94</v>
      </c>
      <c r="C29" s="2" t="s">
        <v>320</v>
      </c>
      <c r="D29" s="2" t="s">
        <v>317</v>
      </c>
      <c r="E29" s="2" t="s">
        <v>317</v>
      </c>
      <c r="F29" s="2" t="s">
        <v>317</v>
      </c>
      <c r="G29" s="2" t="s">
        <v>320</v>
      </c>
      <c r="H29" s="2" t="s">
        <v>318</v>
      </c>
      <c r="I29" s="2" t="s">
        <v>319</v>
      </c>
      <c r="J29" s="2" t="s">
        <v>317</v>
      </c>
      <c r="K29" s="2" t="s">
        <v>317</v>
      </c>
      <c r="L29" s="2" t="s">
        <v>317</v>
      </c>
      <c r="M29" s="2" t="s">
        <v>317</v>
      </c>
      <c r="N29" s="2" t="s">
        <v>317</v>
      </c>
      <c r="O29" s="2" t="s">
        <v>317</v>
      </c>
      <c r="P29" s="2" t="s">
        <v>317</v>
      </c>
      <c r="Q29" s="2" t="s">
        <v>317</v>
      </c>
      <c r="R29" s="2" t="s">
        <v>318</v>
      </c>
      <c r="S29" s="2" t="s">
        <v>317</v>
      </c>
      <c r="T29" s="2" t="s">
        <v>317</v>
      </c>
      <c r="U29" s="2" t="s">
        <v>317</v>
      </c>
      <c r="V29" s="2" t="s">
        <v>317</v>
      </c>
      <c r="W29" s="2" t="s">
        <v>317</v>
      </c>
      <c r="X29" s="2" t="s">
        <v>317</v>
      </c>
      <c r="Y29" s="2" t="s">
        <v>317</v>
      </c>
      <c r="Z29" s="2" t="s">
        <v>319</v>
      </c>
      <c r="AA29" s="2" t="s">
        <v>318</v>
      </c>
      <c r="AB29" s="2" t="s">
        <v>317</v>
      </c>
      <c r="AC29" s="2" t="s">
        <v>319</v>
      </c>
      <c r="AD29" s="2" t="s">
        <v>317</v>
      </c>
    </row>
    <row r="30" spans="1:30" x14ac:dyDescent="0.3">
      <c r="A30" s="2" t="s">
        <v>95</v>
      </c>
      <c r="B30" s="2" t="s">
        <v>96</v>
      </c>
      <c r="C30" s="2" t="s">
        <v>317</v>
      </c>
      <c r="D30" s="2" t="s">
        <v>317</v>
      </c>
      <c r="E30" s="2" t="s">
        <v>317</v>
      </c>
      <c r="F30" s="2" t="s">
        <v>317</v>
      </c>
      <c r="G30" s="2" t="s">
        <v>317</v>
      </c>
      <c r="H30" s="2" t="s">
        <v>317</v>
      </c>
      <c r="I30" s="2" t="s">
        <v>317</v>
      </c>
      <c r="J30" s="2" t="s">
        <v>317</v>
      </c>
      <c r="K30" s="2" t="s">
        <v>317</v>
      </c>
      <c r="L30" s="2" t="s">
        <v>317</v>
      </c>
      <c r="M30" s="2" t="s">
        <v>317</v>
      </c>
      <c r="N30" s="2" t="s">
        <v>317</v>
      </c>
      <c r="O30" s="2" t="s">
        <v>317</v>
      </c>
      <c r="P30" s="2" t="s">
        <v>317</v>
      </c>
      <c r="Q30" s="2" t="s">
        <v>320</v>
      </c>
      <c r="R30" s="2" t="s">
        <v>317</v>
      </c>
      <c r="S30" s="2" t="s">
        <v>317</v>
      </c>
      <c r="T30" s="2" t="s">
        <v>317</v>
      </c>
      <c r="U30" s="2" t="s">
        <v>317</v>
      </c>
      <c r="V30" s="2" t="s">
        <v>317</v>
      </c>
      <c r="W30" s="2" t="s">
        <v>317</v>
      </c>
      <c r="X30" s="2" t="s">
        <v>317</v>
      </c>
      <c r="Y30" s="2" t="s">
        <v>317</v>
      </c>
      <c r="Z30" s="2" t="s">
        <v>318</v>
      </c>
      <c r="AA30" s="2" t="s">
        <v>319</v>
      </c>
      <c r="AB30" s="2" t="s">
        <v>317</v>
      </c>
      <c r="AC30" s="2" t="s">
        <v>317</v>
      </c>
      <c r="AD30" s="2" t="s">
        <v>317</v>
      </c>
    </row>
    <row r="31" spans="1:30" x14ac:dyDescent="0.3">
      <c r="A31" s="2" t="s">
        <v>97</v>
      </c>
      <c r="B31" s="2" t="s">
        <v>98</v>
      </c>
      <c r="C31" s="2" t="s">
        <v>317</v>
      </c>
      <c r="D31" s="2" t="s">
        <v>319</v>
      </c>
      <c r="E31" s="2" t="s">
        <v>317</v>
      </c>
      <c r="F31" s="2" t="s">
        <v>317</v>
      </c>
      <c r="G31" s="2" t="s">
        <v>317</v>
      </c>
      <c r="H31" s="2" t="s">
        <v>317</v>
      </c>
      <c r="I31" s="2" t="s">
        <v>317</v>
      </c>
      <c r="J31" s="2" t="s">
        <v>317</v>
      </c>
      <c r="K31" s="2" t="s">
        <v>317</v>
      </c>
      <c r="L31" s="2" t="s">
        <v>317</v>
      </c>
      <c r="M31" s="2" t="s">
        <v>317</v>
      </c>
      <c r="N31" s="2" t="s">
        <v>317</v>
      </c>
      <c r="O31" s="2" t="s">
        <v>317</v>
      </c>
      <c r="P31" s="2" t="s">
        <v>317</v>
      </c>
      <c r="Q31" s="2" t="s">
        <v>318</v>
      </c>
      <c r="R31" s="2" t="s">
        <v>317</v>
      </c>
      <c r="S31" s="2" t="s">
        <v>317</v>
      </c>
      <c r="T31" s="2" t="s">
        <v>318</v>
      </c>
      <c r="U31" s="2" t="s">
        <v>317</v>
      </c>
      <c r="V31" s="2" t="s">
        <v>317</v>
      </c>
      <c r="W31" s="2" t="s">
        <v>317</v>
      </c>
      <c r="X31" s="2" t="s">
        <v>317</v>
      </c>
      <c r="Y31" s="2" t="s">
        <v>317</v>
      </c>
      <c r="Z31" s="2" t="s">
        <v>317</v>
      </c>
      <c r="AA31" s="2" t="s">
        <v>317</v>
      </c>
      <c r="AB31" s="2" t="s">
        <v>318</v>
      </c>
      <c r="AC31" s="2" t="s">
        <v>317</v>
      </c>
      <c r="AD31" s="2" t="s">
        <v>317</v>
      </c>
    </row>
    <row r="32" spans="1:30" x14ac:dyDescent="0.3">
      <c r="A32" s="2" t="s">
        <v>100</v>
      </c>
      <c r="B32" s="2" t="s">
        <v>101</v>
      </c>
      <c r="C32" s="2" t="s">
        <v>317</v>
      </c>
      <c r="D32" s="2" t="s">
        <v>317</v>
      </c>
      <c r="E32" s="2" t="s">
        <v>317</v>
      </c>
      <c r="F32" s="2" t="s">
        <v>317</v>
      </c>
      <c r="G32" s="2" t="s">
        <v>317</v>
      </c>
      <c r="H32" s="2" t="s">
        <v>317</v>
      </c>
      <c r="I32" s="2" t="s">
        <v>317</v>
      </c>
      <c r="J32" s="2" t="s">
        <v>317</v>
      </c>
      <c r="K32" s="2" t="s">
        <v>317</v>
      </c>
      <c r="L32" s="2" t="s">
        <v>319</v>
      </c>
      <c r="M32" s="2" t="s">
        <v>317</v>
      </c>
      <c r="N32" s="2" t="s">
        <v>317</v>
      </c>
      <c r="O32" s="2" t="s">
        <v>317</v>
      </c>
      <c r="P32" s="2" t="s">
        <v>317</v>
      </c>
      <c r="Q32" s="2" t="s">
        <v>317</v>
      </c>
      <c r="R32" s="2" t="s">
        <v>317</v>
      </c>
      <c r="S32" s="2" t="s">
        <v>317</v>
      </c>
      <c r="T32" s="2" t="s">
        <v>317</v>
      </c>
      <c r="U32" s="2" t="s">
        <v>317</v>
      </c>
      <c r="V32" s="2" t="s">
        <v>317</v>
      </c>
      <c r="W32" s="2" t="s">
        <v>317</v>
      </c>
      <c r="X32" s="2" t="s">
        <v>320</v>
      </c>
      <c r="Y32" s="2" t="s">
        <v>317</v>
      </c>
      <c r="Z32" s="2" t="s">
        <v>317</v>
      </c>
      <c r="AA32" s="2" t="s">
        <v>317</v>
      </c>
      <c r="AB32" s="2" t="s">
        <v>317</v>
      </c>
      <c r="AC32" s="2" t="s">
        <v>319</v>
      </c>
      <c r="AD32" s="2" t="s">
        <v>317</v>
      </c>
    </row>
    <row r="33" spans="1:30" x14ac:dyDescent="0.3">
      <c r="A33" s="2" t="s">
        <v>103</v>
      </c>
      <c r="B33" s="2" t="s">
        <v>104</v>
      </c>
      <c r="C33" s="2" t="s">
        <v>317</v>
      </c>
      <c r="D33" s="2" t="s">
        <v>317</v>
      </c>
      <c r="E33" s="2" t="s">
        <v>317</v>
      </c>
      <c r="F33" s="2" t="s">
        <v>317</v>
      </c>
      <c r="G33" s="2" t="s">
        <v>317</v>
      </c>
      <c r="H33" s="2" t="s">
        <v>317</v>
      </c>
      <c r="I33" s="2" t="s">
        <v>317</v>
      </c>
      <c r="J33" s="2" t="s">
        <v>317</v>
      </c>
      <c r="K33" s="2" t="s">
        <v>317</v>
      </c>
      <c r="L33" s="2" t="s">
        <v>317</v>
      </c>
      <c r="M33" s="2" t="s">
        <v>317</v>
      </c>
      <c r="N33" s="2" t="s">
        <v>319</v>
      </c>
      <c r="O33" s="2" t="s">
        <v>317</v>
      </c>
      <c r="P33" s="2" t="s">
        <v>317</v>
      </c>
      <c r="Q33" s="2" t="s">
        <v>317</v>
      </c>
      <c r="R33" s="2" t="s">
        <v>317</v>
      </c>
      <c r="S33" s="2" t="s">
        <v>320</v>
      </c>
      <c r="T33" s="2" t="s">
        <v>319</v>
      </c>
      <c r="U33" s="2" t="s">
        <v>317</v>
      </c>
      <c r="V33" s="2" t="s">
        <v>317</v>
      </c>
      <c r="W33" s="2" t="s">
        <v>317</v>
      </c>
      <c r="X33" s="2" t="s">
        <v>317</v>
      </c>
      <c r="Y33" s="2" t="s">
        <v>317</v>
      </c>
      <c r="Z33" s="2" t="s">
        <v>317</v>
      </c>
      <c r="AA33" s="2" t="s">
        <v>317</v>
      </c>
      <c r="AB33" s="2" t="s">
        <v>317</v>
      </c>
      <c r="AC33" s="2" t="s">
        <v>319</v>
      </c>
      <c r="AD33" s="2" t="s">
        <v>317</v>
      </c>
    </row>
    <row r="34" spans="1:30" x14ac:dyDescent="0.3">
      <c r="A34" s="2" t="s">
        <v>105</v>
      </c>
      <c r="B34" s="2" t="s">
        <v>90</v>
      </c>
      <c r="C34" s="2" t="s">
        <v>318</v>
      </c>
      <c r="D34" s="2" t="s">
        <v>317</v>
      </c>
      <c r="E34" s="2" t="s">
        <v>317</v>
      </c>
      <c r="F34" s="2" t="s">
        <v>317</v>
      </c>
      <c r="G34" s="2" t="s">
        <v>317</v>
      </c>
      <c r="H34" s="2" t="s">
        <v>317</v>
      </c>
      <c r="I34" s="2" t="s">
        <v>317</v>
      </c>
      <c r="J34" s="2" t="s">
        <v>317</v>
      </c>
      <c r="K34" s="2" t="s">
        <v>317</v>
      </c>
      <c r="L34" s="2" t="s">
        <v>317</v>
      </c>
      <c r="M34" s="2" t="s">
        <v>317</v>
      </c>
      <c r="N34" s="2" t="s">
        <v>317</v>
      </c>
      <c r="O34" s="2" t="s">
        <v>317</v>
      </c>
      <c r="P34" s="2" t="s">
        <v>317</v>
      </c>
      <c r="Q34" s="2" t="s">
        <v>318</v>
      </c>
      <c r="R34" s="2" t="s">
        <v>317</v>
      </c>
      <c r="S34" s="2" t="s">
        <v>317</v>
      </c>
      <c r="T34" s="2" t="s">
        <v>319</v>
      </c>
      <c r="U34" s="2" t="s">
        <v>317</v>
      </c>
      <c r="V34" s="2" t="s">
        <v>317</v>
      </c>
      <c r="W34" s="2" t="s">
        <v>317</v>
      </c>
      <c r="X34" s="2" t="s">
        <v>317</v>
      </c>
      <c r="Y34" s="2" t="s">
        <v>317</v>
      </c>
      <c r="Z34" s="2" t="s">
        <v>317</v>
      </c>
      <c r="AA34" s="2" t="s">
        <v>317</v>
      </c>
      <c r="AB34" s="2" t="s">
        <v>319</v>
      </c>
      <c r="AC34" s="2" t="s">
        <v>317</v>
      </c>
      <c r="AD34" s="2" t="s">
        <v>320</v>
      </c>
    </row>
    <row r="35" spans="1:30" x14ac:dyDescent="0.3">
      <c r="A35" s="2" t="s">
        <v>106</v>
      </c>
      <c r="B35" s="2" t="s">
        <v>107</v>
      </c>
      <c r="C35" s="2" t="s">
        <v>317</v>
      </c>
      <c r="D35" s="2" t="s">
        <v>317</v>
      </c>
      <c r="E35" s="2" t="s">
        <v>319</v>
      </c>
      <c r="F35" s="2" t="s">
        <v>317</v>
      </c>
      <c r="G35" s="2" t="s">
        <v>317</v>
      </c>
      <c r="H35" s="2" t="s">
        <v>319</v>
      </c>
      <c r="I35" s="2" t="s">
        <v>317</v>
      </c>
      <c r="J35" s="2" t="s">
        <v>317</v>
      </c>
      <c r="K35" s="2" t="s">
        <v>317</v>
      </c>
      <c r="L35" s="2" t="s">
        <v>317</v>
      </c>
      <c r="M35" s="2" t="s">
        <v>317</v>
      </c>
      <c r="N35" s="2" t="s">
        <v>317</v>
      </c>
      <c r="O35" s="2" t="s">
        <v>317</v>
      </c>
      <c r="P35" s="2" t="s">
        <v>317</v>
      </c>
      <c r="Q35" s="2" t="s">
        <v>317</v>
      </c>
      <c r="R35" s="2" t="s">
        <v>317</v>
      </c>
      <c r="S35" s="2" t="s">
        <v>317</v>
      </c>
      <c r="T35" s="2" t="s">
        <v>320</v>
      </c>
      <c r="U35" s="2" t="s">
        <v>318</v>
      </c>
      <c r="V35" s="2" t="s">
        <v>317</v>
      </c>
      <c r="W35" s="2" t="s">
        <v>317</v>
      </c>
      <c r="X35" s="2" t="s">
        <v>317</v>
      </c>
      <c r="Y35" s="2" t="s">
        <v>317</v>
      </c>
      <c r="Z35" s="2" t="s">
        <v>317</v>
      </c>
      <c r="AA35" s="2" t="s">
        <v>317</v>
      </c>
      <c r="AB35" s="2" t="s">
        <v>317</v>
      </c>
      <c r="AC35" s="2" t="s">
        <v>317</v>
      </c>
      <c r="AD35" s="2" t="s">
        <v>317</v>
      </c>
    </row>
    <row r="36" spans="1:30" x14ac:dyDescent="0.3">
      <c r="A36" s="2" t="s">
        <v>109</v>
      </c>
      <c r="B36" s="2" t="s">
        <v>110</v>
      </c>
      <c r="C36" s="2" t="s">
        <v>317</v>
      </c>
      <c r="D36" s="2" t="s">
        <v>317</v>
      </c>
      <c r="E36" s="2" t="s">
        <v>317</v>
      </c>
      <c r="F36" s="2" t="s">
        <v>317</v>
      </c>
      <c r="G36" s="2" t="s">
        <v>317</v>
      </c>
      <c r="H36" s="2" t="s">
        <v>317</v>
      </c>
      <c r="I36" s="2" t="s">
        <v>317</v>
      </c>
      <c r="J36" s="2" t="s">
        <v>317</v>
      </c>
      <c r="K36" s="2" t="s">
        <v>320</v>
      </c>
      <c r="L36" s="2" t="s">
        <v>317</v>
      </c>
      <c r="M36" s="2" t="s">
        <v>317</v>
      </c>
      <c r="N36" s="2" t="s">
        <v>319</v>
      </c>
      <c r="O36" s="2" t="s">
        <v>317</v>
      </c>
      <c r="P36" s="2" t="s">
        <v>317</v>
      </c>
      <c r="Q36" s="2" t="s">
        <v>317</v>
      </c>
      <c r="R36" s="2" t="s">
        <v>317</v>
      </c>
      <c r="S36" s="2" t="s">
        <v>317</v>
      </c>
      <c r="T36" s="2" t="s">
        <v>317</v>
      </c>
      <c r="U36" s="2" t="s">
        <v>317</v>
      </c>
      <c r="V36" s="2" t="s">
        <v>317</v>
      </c>
      <c r="W36" s="2" t="s">
        <v>317</v>
      </c>
      <c r="X36" s="2" t="s">
        <v>317</v>
      </c>
      <c r="Y36" s="2" t="s">
        <v>317</v>
      </c>
      <c r="Z36" s="2" t="s">
        <v>317</v>
      </c>
      <c r="AA36" s="2" t="s">
        <v>317</v>
      </c>
      <c r="AB36" s="2" t="s">
        <v>317</v>
      </c>
      <c r="AC36" s="2" t="s">
        <v>317</v>
      </c>
      <c r="AD36" s="2" t="s">
        <v>317</v>
      </c>
    </row>
    <row r="37" spans="1:30" x14ac:dyDescent="0.3">
      <c r="A37" s="2" t="s">
        <v>112</v>
      </c>
      <c r="B37" s="2" t="s">
        <v>113</v>
      </c>
      <c r="C37" s="2" t="s">
        <v>317</v>
      </c>
      <c r="D37" s="2" t="s">
        <v>317</v>
      </c>
      <c r="E37" s="2" t="s">
        <v>319</v>
      </c>
      <c r="F37" s="2" t="s">
        <v>319</v>
      </c>
      <c r="G37" s="2" t="s">
        <v>317</v>
      </c>
      <c r="H37" s="2" t="s">
        <v>317</v>
      </c>
      <c r="I37" s="2" t="s">
        <v>317</v>
      </c>
      <c r="J37" s="2" t="s">
        <v>320</v>
      </c>
      <c r="K37" s="2" t="s">
        <v>317</v>
      </c>
      <c r="L37" s="2" t="s">
        <v>317</v>
      </c>
      <c r="M37" s="2" t="s">
        <v>317</v>
      </c>
      <c r="N37" s="2" t="s">
        <v>317</v>
      </c>
      <c r="O37" s="2" t="s">
        <v>319</v>
      </c>
      <c r="P37" s="2" t="s">
        <v>317</v>
      </c>
      <c r="Q37" s="2" t="s">
        <v>317</v>
      </c>
      <c r="R37" s="2" t="s">
        <v>318</v>
      </c>
      <c r="S37" s="2" t="s">
        <v>317</v>
      </c>
      <c r="T37" s="2" t="s">
        <v>317</v>
      </c>
      <c r="U37" s="2" t="s">
        <v>317</v>
      </c>
      <c r="V37" s="2" t="s">
        <v>317</v>
      </c>
      <c r="W37" s="2" t="s">
        <v>317</v>
      </c>
      <c r="X37" s="2" t="s">
        <v>317</v>
      </c>
      <c r="Y37" s="2" t="s">
        <v>317</v>
      </c>
      <c r="Z37" s="2" t="s">
        <v>317</v>
      </c>
      <c r="AA37" s="2" t="s">
        <v>317</v>
      </c>
      <c r="AB37" s="2" t="s">
        <v>317</v>
      </c>
      <c r="AC37" s="2" t="s">
        <v>317</v>
      </c>
      <c r="AD37" s="2" t="s">
        <v>317</v>
      </c>
    </row>
    <row r="38" spans="1:30" x14ac:dyDescent="0.3">
      <c r="A38" s="2" t="s">
        <v>114</v>
      </c>
      <c r="B38" s="2" t="s">
        <v>115</v>
      </c>
      <c r="C38" s="2" t="s">
        <v>317</v>
      </c>
      <c r="D38" s="2" t="s">
        <v>317</v>
      </c>
      <c r="E38" s="2" t="s">
        <v>317</v>
      </c>
      <c r="F38" s="2" t="s">
        <v>317</v>
      </c>
      <c r="G38" s="2" t="s">
        <v>317</v>
      </c>
      <c r="H38" s="2" t="s">
        <v>317</v>
      </c>
      <c r="I38" s="2" t="s">
        <v>317</v>
      </c>
      <c r="J38" s="2" t="s">
        <v>317</v>
      </c>
      <c r="K38" s="2" t="s">
        <v>317</v>
      </c>
      <c r="L38" s="2" t="s">
        <v>317</v>
      </c>
      <c r="M38" s="2" t="s">
        <v>317</v>
      </c>
      <c r="N38" s="2" t="s">
        <v>317</v>
      </c>
      <c r="O38" s="2" t="s">
        <v>317</v>
      </c>
      <c r="P38" s="2" t="s">
        <v>317</v>
      </c>
      <c r="Q38" s="2" t="s">
        <v>317</v>
      </c>
      <c r="R38" s="2" t="s">
        <v>317</v>
      </c>
      <c r="S38" s="2" t="s">
        <v>317</v>
      </c>
      <c r="T38" s="2" t="s">
        <v>317</v>
      </c>
      <c r="U38" s="2" t="s">
        <v>317</v>
      </c>
      <c r="V38" s="2" t="s">
        <v>317</v>
      </c>
      <c r="W38" s="2" t="s">
        <v>317</v>
      </c>
      <c r="X38" s="2" t="s">
        <v>317</v>
      </c>
      <c r="Y38" s="2" t="s">
        <v>320</v>
      </c>
      <c r="Z38" s="2" t="s">
        <v>317</v>
      </c>
      <c r="AA38" s="2" t="s">
        <v>317</v>
      </c>
      <c r="AB38" s="2" t="s">
        <v>317</v>
      </c>
      <c r="AC38" s="2" t="s">
        <v>317</v>
      </c>
      <c r="AD38" s="2" t="s">
        <v>317</v>
      </c>
    </row>
    <row r="39" spans="1:30" x14ac:dyDescent="0.3">
      <c r="A39" s="2" t="s">
        <v>117</v>
      </c>
      <c r="B39" s="2" t="s">
        <v>118</v>
      </c>
      <c r="C39" s="2" t="s">
        <v>317</v>
      </c>
      <c r="D39" s="2" t="s">
        <v>317</v>
      </c>
      <c r="E39" s="2" t="s">
        <v>319</v>
      </c>
      <c r="F39" s="2" t="s">
        <v>317</v>
      </c>
      <c r="G39" s="2" t="s">
        <v>317</v>
      </c>
      <c r="H39" s="2" t="s">
        <v>317</v>
      </c>
      <c r="I39" s="2" t="s">
        <v>317</v>
      </c>
      <c r="J39" s="2" t="s">
        <v>317</v>
      </c>
      <c r="K39" s="2" t="s">
        <v>317</v>
      </c>
      <c r="L39" s="2" t="s">
        <v>317</v>
      </c>
      <c r="M39" s="2" t="s">
        <v>317</v>
      </c>
      <c r="N39" s="2" t="s">
        <v>317</v>
      </c>
      <c r="O39" s="2" t="s">
        <v>317</v>
      </c>
      <c r="P39" s="2" t="s">
        <v>317</v>
      </c>
      <c r="Q39" s="2" t="s">
        <v>317</v>
      </c>
      <c r="R39" s="2" t="s">
        <v>317</v>
      </c>
      <c r="S39" s="2" t="s">
        <v>317</v>
      </c>
      <c r="T39" s="2" t="s">
        <v>317</v>
      </c>
      <c r="U39" s="2" t="s">
        <v>318</v>
      </c>
      <c r="V39" s="2" t="s">
        <v>317</v>
      </c>
      <c r="W39" s="2" t="s">
        <v>318</v>
      </c>
      <c r="X39" s="2" t="s">
        <v>317</v>
      </c>
      <c r="Y39" s="2" t="s">
        <v>320</v>
      </c>
      <c r="Z39" s="2" t="s">
        <v>317</v>
      </c>
      <c r="AA39" s="2" t="s">
        <v>318</v>
      </c>
      <c r="AB39" s="2" t="s">
        <v>320</v>
      </c>
      <c r="AC39" s="2" t="s">
        <v>320</v>
      </c>
      <c r="AD39" s="2" t="s">
        <v>317</v>
      </c>
    </row>
    <row r="40" spans="1:30" x14ac:dyDescent="0.3">
      <c r="A40" s="2" t="s">
        <v>119</v>
      </c>
      <c r="B40" s="2" t="s">
        <v>120</v>
      </c>
      <c r="C40" s="2" t="s">
        <v>317</v>
      </c>
      <c r="D40" s="2" t="s">
        <v>317</v>
      </c>
      <c r="E40" s="2" t="s">
        <v>317</v>
      </c>
      <c r="F40" s="2" t="s">
        <v>317</v>
      </c>
      <c r="G40" s="2" t="s">
        <v>317</v>
      </c>
      <c r="H40" s="2" t="s">
        <v>317</v>
      </c>
      <c r="I40" s="2" t="s">
        <v>317</v>
      </c>
      <c r="J40" s="2" t="s">
        <v>317</v>
      </c>
      <c r="K40" s="2" t="s">
        <v>317</v>
      </c>
      <c r="L40" s="2" t="s">
        <v>317</v>
      </c>
      <c r="M40" s="2" t="s">
        <v>317</v>
      </c>
      <c r="N40" s="2" t="s">
        <v>317</v>
      </c>
      <c r="O40" s="2" t="s">
        <v>317</v>
      </c>
      <c r="P40" s="2" t="s">
        <v>317</v>
      </c>
      <c r="Q40" s="2" t="s">
        <v>317</v>
      </c>
      <c r="R40" s="2" t="s">
        <v>318</v>
      </c>
      <c r="S40" s="2" t="s">
        <v>317</v>
      </c>
      <c r="T40" s="2" t="s">
        <v>317</v>
      </c>
      <c r="U40" s="2" t="s">
        <v>320</v>
      </c>
      <c r="V40" s="2" t="s">
        <v>317</v>
      </c>
      <c r="W40" s="2" t="s">
        <v>317</v>
      </c>
      <c r="X40" s="2" t="s">
        <v>317</v>
      </c>
      <c r="Y40" s="2" t="s">
        <v>317</v>
      </c>
      <c r="Z40" s="2" t="s">
        <v>318</v>
      </c>
      <c r="AA40" s="2" t="s">
        <v>317</v>
      </c>
      <c r="AB40" s="2" t="s">
        <v>317</v>
      </c>
      <c r="AC40" s="2" t="s">
        <v>317</v>
      </c>
      <c r="AD40" s="2" t="s">
        <v>320</v>
      </c>
    </row>
    <row r="41" spans="1:30" x14ac:dyDescent="0.3">
      <c r="A41" s="2" t="s">
        <v>121</v>
      </c>
      <c r="B41" s="2" t="s">
        <v>122</v>
      </c>
      <c r="C41" s="2" t="s">
        <v>317</v>
      </c>
      <c r="D41" s="2" t="s">
        <v>318</v>
      </c>
      <c r="E41" s="2" t="s">
        <v>317</v>
      </c>
      <c r="F41" s="2" t="s">
        <v>317</v>
      </c>
      <c r="G41" s="2" t="s">
        <v>320</v>
      </c>
      <c r="H41" s="2" t="s">
        <v>317</v>
      </c>
      <c r="I41" s="2" t="s">
        <v>317</v>
      </c>
      <c r="J41" s="2" t="s">
        <v>317</v>
      </c>
      <c r="K41" s="2" t="s">
        <v>320</v>
      </c>
      <c r="L41" s="2" t="s">
        <v>317</v>
      </c>
      <c r="M41" s="2" t="s">
        <v>317</v>
      </c>
      <c r="N41" s="2" t="s">
        <v>317</v>
      </c>
      <c r="O41" s="2" t="s">
        <v>320</v>
      </c>
      <c r="P41" s="2" t="s">
        <v>317</v>
      </c>
      <c r="Q41" s="2" t="s">
        <v>317</v>
      </c>
      <c r="R41" s="2" t="s">
        <v>317</v>
      </c>
      <c r="S41" s="2" t="s">
        <v>317</v>
      </c>
      <c r="T41" s="2" t="s">
        <v>317</v>
      </c>
      <c r="U41" s="2" t="s">
        <v>317</v>
      </c>
      <c r="V41" s="2" t="s">
        <v>317</v>
      </c>
      <c r="W41" s="2" t="s">
        <v>319</v>
      </c>
      <c r="X41" s="2" t="s">
        <v>317</v>
      </c>
      <c r="Y41" s="2" t="s">
        <v>317</v>
      </c>
      <c r="Z41" s="2" t="s">
        <v>317</v>
      </c>
      <c r="AA41" s="2" t="s">
        <v>319</v>
      </c>
      <c r="AB41" s="2" t="s">
        <v>317</v>
      </c>
      <c r="AC41" s="2" t="s">
        <v>320</v>
      </c>
      <c r="AD41" s="2" t="s">
        <v>317</v>
      </c>
    </row>
    <row r="42" spans="1:30" x14ac:dyDescent="0.3">
      <c r="A42" s="2" t="s">
        <v>123</v>
      </c>
      <c r="B42" s="2" t="s">
        <v>124</v>
      </c>
      <c r="C42" s="2" t="s">
        <v>320</v>
      </c>
      <c r="D42" s="2" t="s">
        <v>317</v>
      </c>
      <c r="E42" s="2" t="s">
        <v>317</v>
      </c>
      <c r="F42" s="2" t="s">
        <v>317</v>
      </c>
      <c r="G42" s="2" t="s">
        <v>319</v>
      </c>
      <c r="H42" s="2" t="s">
        <v>317</v>
      </c>
      <c r="I42" s="2" t="s">
        <v>319</v>
      </c>
      <c r="J42" s="2" t="s">
        <v>317</v>
      </c>
      <c r="K42" s="2" t="s">
        <v>317</v>
      </c>
      <c r="L42" s="2" t="s">
        <v>317</v>
      </c>
      <c r="M42" s="2" t="s">
        <v>317</v>
      </c>
      <c r="N42" s="2" t="s">
        <v>317</v>
      </c>
      <c r="O42" s="2" t="s">
        <v>317</v>
      </c>
      <c r="P42" s="2" t="s">
        <v>317</v>
      </c>
      <c r="Q42" s="2" t="s">
        <v>317</v>
      </c>
      <c r="R42" s="2" t="s">
        <v>317</v>
      </c>
      <c r="S42" s="2" t="s">
        <v>317</v>
      </c>
      <c r="T42" s="2" t="s">
        <v>317</v>
      </c>
      <c r="U42" s="2" t="s">
        <v>317</v>
      </c>
      <c r="V42" s="2" t="s">
        <v>317</v>
      </c>
      <c r="W42" s="2" t="s">
        <v>317</v>
      </c>
      <c r="X42" s="2" t="s">
        <v>317</v>
      </c>
      <c r="Y42" s="2" t="s">
        <v>317</v>
      </c>
      <c r="Z42" s="2" t="s">
        <v>317</v>
      </c>
      <c r="AA42" s="2" t="s">
        <v>317</v>
      </c>
      <c r="AB42" s="2" t="s">
        <v>317</v>
      </c>
      <c r="AC42" s="2" t="s">
        <v>317</v>
      </c>
      <c r="AD42" s="2" t="s">
        <v>317</v>
      </c>
    </row>
    <row r="43" spans="1:30" x14ac:dyDescent="0.3">
      <c r="A43" s="2" t="s">
        <v>125</v>
      </c>
      <c r="B43" s="2" t="s">
        <v>126</v>
      </c>
      <c r="C43" s="2" t="s">
        <v>317</v>
      </c>
      <c r="D43" s="2" t="s">
        <v>317</v>
      </c>
      <c r="E43" s="2" t="s">
        <v>317</v>
      </c>
      <c r="F43" s="2" t="s">
        <v>317</v>
      </c>
      <c r="G43" s="2" t="s">
        <v>317</v>
      </c>
      <c r="H43" s="2" t="s">
        <v>317</v>
      </c>
      <c r="I43" s="2" t="s">
        <v>317</v>
      </c>
      <c r="J43" s="2" t="s">
        <v>317</v>
      </c>
      <c r="K43" s="2" t="s">
        <v>319</v>
      </c>
      <c r="L43" s="2" t="s">
        <v>317</v>
      </c>
      <c r="M43" s="2" t="s">
        <v>317</v>
      </c>
      <c r="N43" s="2" t="s">
        <v>317</v>
      </c>
      <c r="O43" s="2" t="s">
        <v>317</v>
      </c>
      <c r="P43" s="2" t="s">
        <v>317</v>
      </c>
      <c r="Q43" s="2" t="s">
        <v>317</v>
      </c>
      <c r="R43" s="2" t="s">
        <v>317</v>
      </c>
      <c r="S43" s="2" t="s">
        <v>317</v>
      </c>
      <c r="T43" s="2" t="s">
        <v>317</v>
      </c>
      <c r="U43" s="2" t="s">
        <v>317</v>
      </c>
      <c r="V43" s="2" t="s">
        <v>319</v>
      </c>
      <c r="W43" s="2" t="s">
        <v>317</v>
      </c>
      <c r="X43" s="2" t="s">
        <v>317</v>
      </c>
      <c r="Y43" s="2" t="s">
        <v>320</v>
      </c>
      <c r="Z43" s="2" t="s">
        <v>319</v>
      </c>
      <c r="AA43" s="2" t="s">
        <v>320</v>
      </c>
      <c r="AB43" s="2" t="s">
        <v>317</v>
      </c>
      <c r="AC43" s="2" t="s">
        <v>317</v>
      </c>
      <c r="AD43" s="2" t="s">
        <v>317</v>
      </c>
    </row>
    <row r="44" spans="1:30" x14ac:dyDescent="0.3">
      <c r="A44" s="2" t="s">
        <v>127</v>
      </c>
      <c r="B44" s="2" t="s">
        <v>128</v>
      </c>
      <c r="C44" s="2" t="s">
        <v>317</v>
      </c>
      <c r="D44" s="2" t="s">
        <v>317</v>
      </c>
      <c r="E44" s="2" t="s">
        <v>317</v>
      </c>
      <c r="F44" s="2" t="s">
        <v>317</v>
      </c>
      <c r="G44" s="2" t="s">
        <v>317</v>
      </c>
      <c r="H44" s="2" t="s">
        <v>317</v>
      </c>
      <c r="I44" s="2" t="s">
        <v>317</v>
      </c>
      <c r="J44" s="2" t="s">
        <v>317</v>
      </c>
      <c r="K44" s="2" t="s">
        <v>317</v>
      </c>
      <c r="L44" s="2" t="s">
        <v>317</v>
      </c>
      <c r="M44" s="2" t="s">
        <v>317</v>
      </c>
      <c r="N44" s="2" t="s">
        <v>317</v>
      </c>
      <c r="O44" s="2" t="s">
        <v>317</v>
      </c>
      <c r="P44" s="2" t="s">
        <v>317</v>
      </c>
      <c r="Q44" s="2" t="s">
        <v>318</v>
      </c>
      <c r="R44" s="2" t="s">
        <v>317</v>
      </c>
      <c r="S44" s="2" t="s">
        <v>317</v>
      </c>
      <c r="T44" s="2" t="s">
        <v>317</v>
      </c>
      <c r="U44" s="2" t="s">
        <v>317</v>
      </c>
      <c r="V44" s="2" t="s">
        <v>318</v>
      </c>
      <c r="W44" s="2" t="s">
        <v>317</v>
      </c>
      <c r="X44" s="2" t="s">
        <v>317</v>
      </c>
      <c r="Y44" s="2" t="s">
        <v>319</v>
      </c>
      <c r="Z44" s="2" t="s">
        <v>317</v>
      </c>
      <c r="AA44" s="2" t="s">
        <v>319</v>
      </c>
      <c r="AB44" s="2" t="s">
        <v>318</v>
      </c>
      <c r="AC44" s="2" t="s">
        <v>317</v>
      </c>
      <c r="AD44" s="2" t="s">
        <v>317</v>
      </c>
    </row>
    <row r="45" spans="1:30" x14ac:dyDescent="0.3">
      <c r="A45" s="2" t="s">
        <v>129</v>
      </c>
      <c r="B45" s="2" t="s">
        <v>130</v>
      </c>
      <c r="C45" s="2" t="s">
        <v>317</v>
      </c>
      <c r="D45" s="2" t="s">
        <v>317</v>
      </c>
      <c r="E45" s="2" t="s">
        <v>317</v>
      </c>
      <c r="F45" s="2" t="s">
        <v>317</v>
      </c>
      <c r="G45" s="2" t="s">
        <v>317</v>
      </c>
      <c r="H45" s="2" t="s">
        <v>320</v>
      </c>
      <c r="I45" s="2" t="s">
        <v>317</v>
      </c>
      <c r="J45" s="2" t="s">
        <v>317</v>
      </c>
      <c r="K45" s="2" t="s">
        <v>317</v>
      </c>
      <c r="L45" s="2" t="s">
        <v>317</v>
      </c>
      <c r="M45" s="2" t="s">
        <v>317</v>
      </c>
      <c r="N45" s="2" t="s">
        <v>318</v>
      </c>
      <c r="O45" s="2" t="s">
        <v>317</v>
      </c>
      <c r="P45" s="2" t="s">
        <v>317</v>
      </c>
      <c r="Q45" s="2" t="s">
        <v>317</v>
      </c>
      <c r="R45" s="2" t="s">
        <v>318</v>
      </c>
      <c r="S45" s="2" t="s">
        <v>317</v>
      </c>
      <c r="T45" s="2" t="s">
        <v>317</v>
      </c>
      <c r="U45" s="2" t="s">
        <v>317</v>
      </c>
      <c r="V45" s="2" t="s">
        <v>318</v>
      </c>
      <c r="W45" s="2" t="s">
        <v>317</v>
      </c>
      <c r="X45" s="2" t="s">
        <v>317</v>
      </c>
      <c r="Y45" s="2" t="s">
        <v>317</v>
      </c>
      <c r="Z45" s="2" t="s">
        <v>319</v>
      </c>
      <c r="AA45" s="2" t="s">
        <v>317</v>
      </c>
      <c r="AB45" s="2" t="s">
        <v>317</v>
      </c>
      <c r="AC45" s="2" t="s">
        <v>317</v>
      </c>
      <c r="AD45" s="2" t="s">
        <v>317</v>
      </c>
    </row>
    <row r="46" spans="1:30" x14ac:dyDescent="0.3">
      <c r="A46" s="2" t="s">
        <v>131</v>
      </c>
      <c r="B46" s="2" t="s">
        <v>98</v>
      </c>
      <c r="C46" s="2" t="s">
        <v>317</v>
      </c>
      <c r="D46" s="2" t="s">
        <v>317</v>
      </c>
      <c r="E46" s="2" t="s">
        <v>317</v>
      </c>
      <c r="F46" s="2" t="s">
        <v>317</v>
      </c>
      <c r="G46" s="2" t="s">
        <v>317</v>
      </c>
      <c r="H46" s="2" t="s">
        <v>317</v>
      </c>
      <c r="I46" s="2" t="s">
        <v>317</v>
      </c>
      <c r="J46" s="2" t="s">
        <v>317</v>
      </c>
      <c r="K46" s="2" t="s">
        <v>317</v>
      </c>
      <c r="L46" s="2" t="s">
        <v>317</v>
      </c>
      <c r="M46" s="2" t="s">
        <v>317</v>
      </c>
      <c r="N46" s="2" t="s">
        <v>317</v>
      </c>
      <c r="O46" s="2" t="s">
        <v>317</v>
      </c>
      <c r="P46" s="2" t="s">
        <v>317</v>
      </c>
      <c r="Q46" s="2" t="s">
        <v>317</v>
      </c>
      <c r="R46" s="2" t="s">
        <v>319</v>
      </c>
      <c r="S46" s="2" t="s">
        <v>317</v>
      </c>
      <c r="T46" s="2" t="s">
        <v>317</v>
      </c>
      <c r="U46" s="2" t="s">
        <v>317</v>
      </c>
      <c r="V46" s="2" t="s">
        <v>317</v>
      </c>
      <c r="W46" s="2" t="s">
        <v>317</v>
      </c>
      <c r="X46" s="2" t="s">
        <v>317</v>
      </c>
      <c r="Y46" s="2" t="s">
        <v>317</v>
      </c>
      <c r="Z46" s="2" t="s">
        <v>317</v>
      </c>
      <c r="AA46" s="2" t="s">
        <v>317</v>
      </c>
      <c r="AB46" s="2" t="s">
        <v>317</v>
      </c>
      <c r="AC46" s="2" t="s">
        <v>317</v>
      </c>
      <c r="AD46" s="2" t="s">
        <v>317</v>
      </c>
    </row>
    <row r="47" spans="1:30" x14ac:dyDescent="0.3">
      <c r="A47" s="2" t="s">
        <v>132</v>
      </c>
      <c r="B47" s="2" t="s">
        <v>133</v>
      </c>
      <c r="C47" s="2" t="s">
        <v>317</v>
      </c>
      <c r="D47" s="2" t="s">
        <v>317</v>
      </c>
      <c r="E47" s="2" t="s">
        <v>317</v>
      </c>
      <c r="F47" s="2" t="s">
        <v>317</v>
      </c>
      <c r="G47" s="2" t="s">
        <v>317</v>
      </c>
      <c r="H47" s="2" t="s">
        <v>317</v>
      </c>
      <c r="I47" s="2" t="s">
        <v>320</v>
      </c>
      <c r="J47" s="2" t="s">
        <v>319</v>
      </c>
      <c r="K47" s="2" t="s">
        <v>317</v>
      </c>
      <c r="L47" s="2" t="s">
        <v>317</v>
      </c>
      <c r="M47" s="2" t="s">
        <v>317</v>
      </c>
      <c r="N47" s="2" t="s">
        <v>319</v>
      </c>
      <c r="O47" s="2" t="s">
        <v>317</v>
      </c>
      <c r="P47" s="2" t="s">
        <v>317</v>
      </c>
      <c r="Q47" s="2" t="s">
        <v>317</v>
      </c>
      <c r="R47" s="2" t="s">
        <v>317</v>
      </c>
      <c r="S47" s="2" t="s">
        <v>317</v>
      </c>
      <c r="T47" s="2" t="s">
        <v>318</v>
      </c>
      <c r="U47" s="2" t="s">
        <v>317</v>
      </c>
      <c r="V47" s="2" t="s">
        <v>317</v>
      </c>
      <c r="W47" s="2" t="s">
        <v>317</v>
      </c>
      <c r="X47" s="2" t="s">
        <v>319</v>
      </c>
      <c r="Y47" s="2" t="s">
        <v>317</v>
      </c>
      <c r="Z47" s="2" t="s">
        <v>317</v>
      </c>
      <c r="AA47" s="2" t="s">
        <v>317</v>
      </c>
      <c r="AB47" s="2" t="s">
        <v>317</v>
      </c>
      <c r="AC47" s="2" t="s">
        <v>320</v>
      </c>
      <c r="AD47" s="2" t="s">
        <v>317</v>
      </c>
    </row>
    <row r="48" spans="1:30" x14ac:dyDescent="0.3">
      <c r="A48" s="2" t="s">
        <v>134</v>
      </c>
      <c r="B48" s="2" t="s">
        <v>135</v>
      </c>
      <c r="C48" s="2" t="s">
        <v>317</v>
      </c>
      <c r="D48" s="2" t="s">
        <v>317</v>
      </c>
      <c r="E48" s="2" t="s">
        <v>317</v>
      </c>
      <c r="F48" s="2" t="s">
        <v>317</v>
      </c>
      <c r="G48" s="2" t="s">
        <v>317</v>
      </c>
      <c r="H48" s="2" t="s">
        <v>317</v>
      </c>
      <c r="I48" s="2" t="s">
        <v>317</v>
      </c>
      <c r="J48" s="2" t="s">
        <v>318</v>
      </c>
      <c r="K48" s="2" t="s">
        <v>318</v>
      </c>
      <c r="L48" s="2" t="s">
        <v>317</v>
      </c>
      <c r="M48" s="2" t="s">
        <v>317</v>
      </c>
      <c r="N48" s="2" t="s">
        <v>317</v>
      </c>
      <c r="O48" s="2" t="s">
        <v>317</v>
      </c>
      <c r="P48" s="2" t="s">
        <v>317</v>
      </c>
      <c r="Q48" s="2" t="s">
        <v>317</v>
      </c>
      <c r="R48" s="2" t="s">
        <v>317</v>
      </c>
      <c r="S48" s="2" t="s">
        <v>317</v>
      </c>
      <c r="T48" s="2" t="s">
        <v>317</v>
      </c>
      <c r="U48" s="2" t="s">
        <v>317</v>
      </c>
      <c r="V48" s="2" t="s">
        <v>317</v>
      </c>
      <c r="W48" s="2" t="s">
        <v>317</v>
      </c>
      <c r="X48" s="2" t="s">
        <v>317</v>
      </c>
      <c r="Y48" s="2" t="s">
        <v>317</v>
      </c>
      <c r="Z48" s="2" t="s">
        <v>319</v>
      </c>
      <c r="AA48" s="2" t="s">
        <v>317</v>
      </c>
      <c r="AB48" s="2" t="s">
        <v>320</v>
      </c>
      <c r="AC48" s="2" t="s">
        <v>317</v>
      </c>
      <c r="AD48" s="2" t="s">
        <v>317</v>
      </c>
    </row>
    <row r="49" spans="1:30" x14ac:dyDescent="0.3">
      <c r="A49" s="2" t="s">
        <v>136</v>
      </c>
      <c r="B49" s="2" t="s">
        <v>33</v>
      </c>
      <c r="C49" s="2" t="s">
        <v>317</v>
      </c>
      <c r="D49" s="2" t="s">
        <v>317</v>
      </c>
      <c r="E49" s="2" t="s">
        <v>319</v>
      </c>
      <c r="F49" s="2" t="s">
        <v>317</v>
      </c>
      <c r="G49" s="2" t="s">
        <v>317</v>
      </c>
      <c r="H49" s="2" t="s">
        <v>318</v>
      </c>
      <c r="I49" s="2" t="s">
        <v>317</v>
      </c>
      <c r="J49" s="2" t="s">
        <v>317</v>
      </c>
      <c r="K49" s="2" t="s">
        <v>317</v>
      </c>
      <c r="L49" s="2" t="s">
        <v>317</v>
      </c>
      <c r="M49" s="2" t="s">
        <v>317</v>
      </c>
      <c r="N49" s="2" t="s">
        <v>317</v>
      </c>
      <c r="O49" s="2" t="s">
        <v>317</v>
      </c>
      <c r="P49" s="2" t="s">
        <v>318</v>
      </c>
      <c r="Q49" s="2" t="s">
        <v>317</v>
      </c>
      <c r="R49" s="2" t="s">
        <v>317</v>
      </c>
      <c r="S49" s="2" t="s">
        <v>317</v>
      </c>
      <c r="T49" s="2" t="s">
        <v>317</v>
      </c>
      <c r="U49" s="2" t="s">
        <v>317</v>
      </c>
      <c r="V49" s="2" t="s">
        <v>317</v>
      </c>
      <c r="W49" s="2" t="s">
        <v>317</v>
      </c>
      <c r="X49" s="2" t="s">
        <v>317</v>
      </c>
      <c r="Y49" s="2" t="s">
        <v>317</v>
      </c>
      <c r="Z49" s="2" t="s">
        <v>318</v>
      </c>
      <c r="AA49" s="2" t="s">
        <v>318</v>
      </c>
      <c r="AB49" s="2" t="s">
        <v>317</v>
      </c>
      <c r="AC49" s="2" t="s">
        <v>317</v>
      </c>
      <c r="AD49" s="2" t="s">
        <v>317</v>
      </c>
    </row>
    <row r="50" spans="1:30" x14ac:dyDescent="0.3">
      <c r="A50" s="2" t="s">
        <v>138</v>
      </c>
      <c r="B50" s="2" t="s">
        <v>67</v>
      </c>
      <c r="C50" s="2" t="s">
        <v>317</v>
      </c>
      <c r="D50" s="2" t="s">
        <v>317</v>
      </c>
      <c r="E50" s="2" t="s">
        <v>319</v>
      </c>
      <c r="F50" s="2" t="s">
        <v>317</v>
      </c>
      <c r="G50" s="2" t="s">
        <v>317</v>
      </c>
      <c r="H50" s="2" t="s">
        <v>317</v>
      </c>
      <c r="I50" s="2" t="s">
        <v>317</v>
      </c>
      <c r="J50" s="2" t="s">
        <v>317</v>
      </c>
      <c r="K50" s="2" t="s">
        <v>317</v>
      </c>
      <c r="L50" s="2" t="s">
        <v>317</v>
      </c>
      <c r="M50" s="2" t="s">
        <v>317</v>
      </c>
      <c r="N50" s="2" t="s">
        <v>317</v>
      </c>
      <c r="O50" s="2" t="s">
        <v>317</v>
      </c>
      <c r="P50" s="2" t="s">
        <v>317</v>
      </c>
      <c r="Q50" s="2" t="s">
        <v>318</v>
      </c>
      <c r="R50" s="2" t="s">
        <v>317</v>
      </c>
      <c r="S50" s="2" t="s">
        <v>317</v>
      </c>
      <c r="T50" s="2" t="s">
        <v>317</v>
      </c>
      <c r="U50" s="2" t="s">
        <v>317</v>
      </c>
      <c r="V50" s="2" t="s">
        <v>317</v>
      </c>
      <c r="W50" s="2" t="s">
        <v>317</v>
      </c>
      <c r="X50" s="2" t="s">
        <v>317</v>
      </c>
      <c r="Y50" s="2" t="s">
        <v>319</v>
      </c>
      <c r="Z50" s="2" t="s">
        <v>317</v>
      </c>
      <c r="AA50" s="2" t="s">
        <v>318</v>
      </c>
      <c r="AB50" s="2" t="s">
        <v>317</v>
      </c>
      <c r="AC50" s="2" t="s">
        <v>317</v>
      </c>
      <c r="AD50" s="2" t="s">
        <v>317</v>
      </c>
    </row>
    <row r="51" spans="1:30" x14ac:dyDescent="0.3">
      <c r="A51" s="2" t="s">
        <v>139</v>
      </c>
      <c r="B51" s="2" t="s">
        <v>140</v>
      </c>
      <c r="C51" s="2" t="s">
        <v>317</v>
      </c>
      <c r="D51" s="2" t="s">
        <v>317</v>
      </c>
      <c r="E51" s="2" t="s">
        <v>317</v>
      </c>
      <c r="F51" s="2" t="s">
        <v>317</v>
      </c>
      <c r="G51" s="2" t="s">
        <v>317</v>
      </c>
      <c r="H51" s="2" t="s">
        <v>317</v>
      </c>
      <c r="I51" s="2" t="s">
        <v>317</v>
      </c>
      <c r="J51" s="2" t="s">
        <v>317</v>
      </c>
      <c r="K51" s="2" t="s">
        <v>317</v>
      </c>
      <c r="L51" s="2" t="s">
        <v>317</v>
      </c>
      <c r="M51" s="2" t="s">
        <v>317</v>
      </c>
      <c r="N51" s="2" t="s">
        <v>317</v>
      </c>
      <c r="O51" s="2" t="s">
        <v>317</v>
      </c>
      <c r="P51" s="2" t="s">
        <v>317</v>
      </c>
      <c r="Q51" s="2" t="s">
        <v>317</v>
      </c>
      <c r="R51" s="2" t="s">
        <v>317</v>
      </c>
      <c r="S51" s="2" t="s">
        <v>317</v>
      </c>
      <c r="T51" s="2" t="s">
        <v>317</v>
      </c>
      <c r="U51" s="2" t="s">
        <v>317</v>
      </c>
      <c r="V51" s="2" t="s">
        <v>317</v>
      </c>
      <c r="W51" s="2" t="s">
        <v>317</v>
      </c>
      <c r="X51" s="2" t="s">
        <v>317</v>
      </c>
      <c r="Y51" s="2" t="s">
        <v>317</v>
      </c>
      <c r="Z51" s="2" t="s">
        <v>317</v>
      </c>
      <c r="AA51" s="2" t="s">
        <v>319</v>
      </c>
      <c r="AB51" s="2" t="s">
        <v>317</v>
      </c>
      <c r="AC51" s="2" t="s">
        <v>320</v>
      </c>
      <c r="AD51" s="2" t="s">
        <v>317</v>
      </c>
    </row>
    <row r="52" spans="1:30" x14ac:dyDescent="0.3">
      <c r="A52" s="2" t="s">
        <v>141</v>
      </c>
      <c r="B52" s="2" t="s">
        <v>90</v>
      </c>
      <c r="C52" s="2" t="s">
        <v>317</v>
      </c>
      <c r="D52" s="2" t="s">
        <v>318</v>
      </c>
      <c r="E52" s="2" t="s">
        <v>318</v>
      </c>
      <c r="F52" s="2" t="s">
        <v>317</v>
      </c>
      <c r="G52" s="2" t="s">
        <v>317</v>
      </c>
      <c r="H52" s="2" t="s">
        <v>317</v>
      </c>
      <c r="I52" s="2" t="s">
        <v>317</v>
      </c>
      <c r="J52" s="2" t="s">
        <v>317</v>
      </c>
      <c r="K52" s="2" t="s">
        <v>317</v>
      </c>
      <c r="L52" s="2" t="s">
        <v>320</v>
      </c>
      <c r="M52" s="2" t="s">
        <v>317</v>
      </c>
      <c r="N52" s="2" t="s">
        <v>317</v>
      </c>
      <c r="O52" s="2" t="s">
        <v>317</v>
      </c>
      <c r="P52" s="2" t="s">
        <v>317</v>
      </c>
      <c r="Q52" s="2" t="s">
        <v>317</v>
      </c>
      <c r="R52" s="2" t="s">
        <v>320</v>
      </c>
      <c r="S52" s="2" t="s">
        <v>317</v>
      </c>
      <c r="T52" s="2" t="s">
        <v>320</v>
      </c>
      <c r="U52" s="2" t="s">
        <v>317</v>
      </c>
      <c r="V52" s="2" t="s">
        <v>317</v>
      </c>
      <c r="W52" s="2" t="s">
        <v>317</v>
      </c>
      <c r="X52" s="2" t="s">
        <v>317</v>
      </c>
      <c r="Y52" s="2" t="s">
        <v>317</v>
      </c>
      <c r="Z52" s="2" t="s">
        <v>320</v>
      </c>
      <c r="AA52" s="2" t="s">
        <v>317</v>
      </c>
      <c r="AB52" s="2" t="s">
        <v>320</v>
      </c>
      <c r="AC52" s="2" t="s">
        <v>317</v>
      </c>
      <c r="AD52" s="2" t="s">
        <v>320</v>
      </c>
    </row>
    <row r="53" spans="1:30" x14ac:dyDescent="0.3">
      <c r="A53" s="2" t="s">
        <v>142</v>
      </c>
      <c r="B53" s="2" t="s">
        <v>143</v>
      </c>
      <c r="C53" s="2" t="s">
        <v>317</v>
      </c>
      <c r="D53" s="2" t="s">
        <v>317</v>
      </c>
      <c r="E53" s="2" t="s">
        <v>319</v>
      </c>
      <c r="F53" s="2" t="s">
        <v>317</v>
      </c>
      <c r="G53" s="2" t="s">
        <v>317</v>
      </c>
      <c r="H53" s="2" t="s">
        <v>317</v>
      </c>
      <c r="I53" s="2" t="s">
        <v>317</v>
      </c>
      <c r="J53" s="2" t="s">
        <v>317</v>
      </c>
      <c r="K53" s="2" t="s">
        <v>319</v>
      </c>
      <c r="L53" s="2" t="s">
        <v>317</v>
      </c>
      <c r="M53" s="2" t="s">
        <v>317</v>
      </c>
      <c r="N53" s="2" t="s">
        <v>317</v>
      </c>
      <c r="O53" s="2" t="s">
        <v>317</v>
      </c>
      <c r="P53" s="2" t="s">
        <v>317</v>
      </c>
      <c r="Q53" s="2" t="s">
        <v>320</v>
      </c>
      <c r="R53" s="2" t="s">
        <v>317</v>
      </c>
      <c r="S53" s="2" t="s">
        <v>317</v>
      </c>
      <c r="T53" s="2" t="s">
        <v>317</v>
      </c>
      <c r="U53" s="2" t="s">
        <v>317</v>
      </c>
      <c r="V53" s="2" t="s">
        <v>317</v>
      </c>
      <c r="W53" s="2" t="s">
        <v>319</v>
      </c>
      <c r="X53" s="2" t="s">
        <v>319</v>
      </c>
      <c r="Y53" s="2" t="s">
        <v>317</v>
      </c>
      <c r="Z53" s="2" t="s">
        <v>319</v>
      </c>
      <c r="AA53" s="2" t="s">
        <v>317</v>
      </c>
      <c r="AB53" s="2" t="s">
        <v>317</v>
      </c>
      <c r="AC53" s="2" t="s">
        <v>317</v>
      </c>
      <c r="AD53" s="2" t="s">
        <v>317</v>
      </c>
    </row>
    <row r="54" spans="1:30" x14ac:dyDescent="0.3">
      <c r="A54" s="2" t="s">
        <v>144</v>
      </c>
      <c r="B54" s="2" t="s">
        <v>145</v>
      </c>
      <c r="C54" s="2" t="s">
        <v>317</v>
      </c>
      <c r="D54" s="2" t="s">
        <v>317</v>
      </c>
      <c r="E54" s="2" t="s">
        <v>317</v>
      </c>
      <c r="F54" s="2" t="s">
        <v>317</v>
      </c>
      <c r="G54" s="2" t="s">
        <v>317</v>
      </c>
      <c r="H54" s="2" t="s">
        <v>317</v>
      </c>
      <c r="I54" s="2" t="s">
        <v>317</v>
      </c>
      <c r="J54" s="2" t="s">
        <v>317</v>
      </c>
      <c r="K54" s="2" t="s">
        <v>317</v>
      </c>
      <c r="L54" s="2" t="s">
        <v>317</v>
      </c>
      <c r="M54" s="2" t="s">
        <v>317</v>
      </c>
      <c r="N54" s="2" t="s">
        <v>317</v>
      </c>
      <c r="O54" s="2" t="s">
        <v>317</v>
      </c>
      <c r="P54" s="2" t="s">
        <v>317</v>
      </c>
      <c r="Q54" s="2" t="s">
        <v>317</v>
      </c>
      <c r="R54" s="2" t="s">
        <v>317</v>
      </c>
      <c r="S54" s="2" t="s">
        <v>317</v>
      </c>
      <c r="T54" s="2" t="s">
        <v>317</v>
      </c>
      <c r="U54" s="2" t="s">
        <v>317</v>
      </c>
      <c r="V54" s="2" t="s">
        <v>317</v>
      </c>
      <c r="W54" s="2" t="s">
        <v>317</v>
      </c>
      <c r="X54" s="2" t="s">
        <v>317</v>
      </c>
      <c r="Y54" s="2" t="s">
        <v>317</v>
      </c>
      <c r="Z54" s="2" t="s">
        <v>317</v>
      </c>
      <c r="AA54" s="2" t="s">
        <v>317</v>
      </c>
      <c r="AB54" s="2" t="s">
        <v>317</v>
      </c>
      <c r="AC54" s="2" t="s">
        <v>317</v>
      </c>
      <c r="AD54" s="2" t="s">
        <v>317</v>
      </c>
    </row>
    <row r="55" spans="1:30" x14ac:dyDescent="0.3">
      <c r="A55" s="2" t="s">
        <v>146</v>
      </c>
      <c r="B55" s="2" t="s">
        <v>147</v>
      </c>
      <c r="C55" s="2" t="s">
        <v>318</v>
      </c>
      <c r="D55" s="2" t="s">
        <v>317</v>
      </c>
      <c r="E55" s="2" t="s">
        <v>317</v>
      </c>
      <c r="F55" s="2" t="s">
        <v>317</v>
      </c>
      <c r="G55" s="2" t="s">
        <v>317</v>
      </c>
      <c r="H55" s="2" t="s">
        <v>317</v>
      </c>
      <c r="I55" s="2" t="s">
        <v>317</v>
      </c>
      <c r="J55" s="2" t="s">
        <v>317</v>
      </c>
      <c r="K55" s="2" t="s">
        <v>320</v>
      </c>
      <c r="L55" s="2" t="s">
        <v>317</v>
      </c>
      <c r="M55" s="2" t="s">
        <v>317</v>
      </c>
      <c r="N55" s="2" t="s">
        <v>317</v>
      </c>
      <c r="O55" s="2" t="s">
        <v>317</v>
      </c>
      <c r="P55" s="2" t="s">
        <v>317</v>
      </c>
      <c r="Q55" s="2" t="s">
        <v>318</v>
      </c>
      <c r="R55" s="2" t="s">
        <v>317</v>
      </c>
      <c r="S55" s="2" t="s">
        <v>320</v>
      </c>
      <c r="T55" s="2" t="s">
        <v>319</v>
      </c>
      <c r="U55" s="2" t="s">
        <v>319</v>
      </c>
      <c r="V55" s="2" t="s">
        <v>317</v>
      </c>
      <c r="W55" s="2" t="s">
        <v>317</v>
      </c>
      <c r="X55" s="2" t="s">
        <v>317</v>
      </c>
      <c r="Y55" s="2" t="s">
        <v>317</v>
      </c>
      <c r="Z55" s="2" t="s">
        <v>320</v>
      </c>
      <c r="AA55" s="2" t="s">
        <v>317</v>
      </c>
      <c r="AB55" s="2" t="s">
        <v>317</v>
      </c>
      <c r="AC55" s="2" t="s">
        <v>317</v>
      </c>
      <c r="AD55" s="2" t="s">
        <v>320</v>
      </c>
    </row>
    <row r="56" spans="1:30" x14ac:dyDescent="0.3">
      <c r="A56" s="2" t="s">
        <v>148</v>
      </c>
      <c r="B56" s="2" t="s">
        <v>149</v>
      </c>
      <c r="C56" s="2" t="s">
        <v>317</v>
      </c>
      <c r="D56" s="2" t="s">
        <v>317</v>
      </c>
      <c r="E56" s="2" t="s">
        <v>317</v>
      </c>
      <c r="F56" s="2" t="s">
        <v>317</v>
      </c>
      <c r="G56" s="2" t="s">
        <v>317</v>
      </c>
      <c r="H56" s="2" t="s">
        <v>317</v>
      </c>
      <c r="I56" s="2" t="s">
        <v>317</v>
      </c>
      <c r="J56" s="2" t="s">
        <v>318</v>
      </c>
      <c r="K56" s="2" t="s">
        <v>317</v>
      </c>
      <c r="L56" s="2" t="s">
        <v>317</v>
      </c>
      <c r="M56" s="2" t="s">
        <v>317</v>
      </c>
      <c r="N56" s="2" t="s">
        <v>317</v>
      </c>
      <c r="O56" s="2" t="s">
        <v>317</v>
      </c>
      <c r="P56" s="2" t="s">
        <v>317</v>
      </c>
      <c r="Q56" s="2" t="s">
        <v>317</v>
      </c>
      <c r="R56" s="2" t="s">
        <v>317</v>
      </c>
      <c r="S56" s="2" t="s">
        <v>317</v>
      </c>
      <c r="T56" s="2" t="s">
        <v>317</v>
      </c>
      <c r="U56" s="2" t="s">
        <v>317</v>
      </c>
      <c r="V56" s="2" t="s">
        <v>317</v>
      </c>
      <c r="W56" s="2" t="s">
        <v>318</v>
      </c>
      <c r="X56" s="2" t="s">
        <v>317</v>
      </c>
      <c r="Y56" s="2" t="s">
        <v>317</v>
      </c>
      <c r="Z56" s="2" t="s">
        <v>317</v>
      </c>
      <c r="AA56" s="2" t="s">
        <v>317</v>
      </c>
      <c r="AB56" s="2" t="s">
        <v>317</v>
      </c>
      <c r="AC56" s="2" t="s">
        <v>317</v>
      </c>
      <c r="AD56" s="2" t="s">
        <v>317</v>
      </c>
    </row>
    <row r="57" spans="1:30" x14ac:dyDescent="0.3">
      <c r="A57" s="2" t="s">
        <v>150</v>
      </c>
      <c r="B57" s="2" t="s">
        <v>151</v>
      </c>
      <c r="C57" s="2" t="s">
        <v>317</v>
      </c>
      <c r="D57" s="2" t="s">
        <v>317</v>
      </c>
      <c r="E57" s="2" t="s">
        <v>317</v>
      </c>
      <c r="F57" s="2" t="s">
        <v>317</v>
      </c>
      <c r="G57" s="2" t="s">
        <v>317</v>
      </c>
      <c r="H57" s="2" t="s">
        <v>317</v>
      </c>
      <c r="I57" s="2" t="s">
        <v>319</v>
      </c>
      <c r="J57" s="2" t="s">
        <v>317</v>
      </c>
      <c r="K57" s="2" t="s">
        <v>317</v>
      </c>
      <c r="L57" s="2" t="s">
        <v>317</v>
      </c>
      <c r="M57" s="2" t="s">
        <v>317</v>
      </c>
      <c r="N57" s="2" t="s">
        <v>317</v>
      </c>
      <c r="O57" s="2" t="s">
        <v>318</v>
      </c>
      <c r="P57" s="2" t="s">
        <v>317</v>
      </c>
      <c r="Q57" s="2" t="s">
        <v>317</v>
      </c>
      <c r="R57" s="2" t="s">
        <v>317</v>
      </c>
      <c r="S57" s="2" t="s">
        <v>317</v>
      </c>
      <c r="T57" s="2" t="s">
        <v>317</v>
      </c>
      <c r="U57" s="2" t="s">
        <v>317</v>
      </c>
      <c r="V57" s="2" t="s">
        <v>317</v>
      </c>
      <c r="W57" s="2" t="s">
        <v>317</v>
      </c>
      <c r="X57" s="2" t="s">
        <v>317</v>
      </c>
      <c r="Y57" s="2" t="s">
        <v>317</v>
      </c>
      <c r="Z57" s="2" t="s">
        <v>317</v>
      </c>
      <c r="AA57" s="2" t="s">
        <v>320</v>
      </c>
      <c r="AB57" s="2" t="s">
        <v>317</v>
      </c>
      <c r="AC57" s="2" t="s">
        <v>317</v>
      </c>
      <c r="AD57" s="2" t="s">
        <v>317</v>
      </c>
    </row>
    <row r="58" spans="1:30" x14ac:dyDescent="0.3">
      <c r="A58" s="2" t="s">
        <v>152</v>
      </c>
      <c r="B58" s="2" t="s">
        <v>107</v>
      </c>
      <c r="C58" s="2" t="s">
        <v>317</v>
      </c>
      <c r="D58" s="2" t="s">
        <v>317</v>
      </c>
      <c r="E58" s="2" t="s">
        <v>317</v>
      </c>
      <c r="F58" s="2" t="s">
        <v>317</v>
      </c>
      <c r="G58" s="2" t="s">
        <v>317</v>
      </c>
      <c r="H58" s="2" t="s">
        <v>317</v>
      </c>
      <c r="I58" s="2" t="s">
        <v>317</v>
      </c>
      <c r="J58" s="2" t="s">
        <v>317</v>
      </c>
      <c r="K58" s="2" t="s">
        <v>317</v>
      </c>
      <c r="L58" s="2" t="s">
        <v>317</v>
      </c>
      <c r="M58" s="2" t="s">
        <v>318</v>
      </c>
      <c r="N58" s="2" t="s">
        <v>317</v>
      </c>
      <c r="O58" s="2" t="s">
        <v>317</v>
      </c>
      <c r="P58" s="2" t="s">
        <v>317</v>
      </c>
      <c r="Q58" s="2" t="s">
        <v>317</v>
      </c>
      <c r="R58" s="2" t="s">
        <v>319</v>
      </c>
      <c r="S58" s="2" t="s">
        <v>317</v>
      </c>
      <c r="T58" s="2" t="s">
        <v>317</v>
      </c>
      <c r="U58" s="2" t="s">
        <v>317</v>
      </c>
      <c r="V58" s="2" t="s">
        <v>317</v>
      </c>
      <c r="W58" s="2" t="s">
        <v>317</v>
      </c>
      <c r="X58" s="2" t="s">
        <v>317</v>
      </c>
      <c r="Y58" s="2" t="s">
        <v>317</v>
      </c>
      <c r="Z58" s="2" t="s">
        <v>317</v>
      </c>
      <c r="AA58" s="2" t="s">
        <v>319</v>
      </c>
      <c r="AB58" s="2" t="s">
        <v>317</v>
      </c>
      <c r="AC58" s="2" t="s">
        <v>317</v>
      </c>
      <c r="AD58" s="2" t="s">
        <v>317</v>
      </c>
    </row>
    <row r="59" spans="1:30" x14ac:dyDescent="0.3">
      <c r="A59" s="2" t="s">
        <v>153</v>
      </c>
      <c r="B59" s="2" t="s">
        <v>154</v>
      </c>
      <c r="C59" s="2" t="s">
        <v>318</v>
      </c>
      <c r="D59" s="2" t="s">
        <v>317</v>
      </c>
      <c r="E59" s="2" t="s">
        <v>317</v>
      </c>
      <c r="F59" s="2" t="s">
        <v>317</v>
      </c>
      <c r="G59" s="2" t="s">
        <v>320</v>
      </c>
      <c r="H59" s="2" t="s">
        <v>317</v>
      </c>
      <c r="I59" s="2" t="s">
        <v>317</v>
      </c>
      <c r="J59" s="2" t="s">
        <v>318</v>
      </c>
      <c r="K59" s="2" t="s">
        <v>318</v>
      </c>
      <c r="L59" s="2" t="s">
        <v>317</v>
      </c>
      <c r="M59" s="2" t="s">
        <v>317</v>
      </c>
      <c r="N59" s="2" t="s">
        <v>317</v>
      </c>
      <c r="O59" s="2" t="s">
        <v>317</v>
      </c>
      <c r="P59" s="2" t="s">
        <v>317</v>
      </c>
      <c r="Q59" s="2" t="s">
        <v>317</v>
      </c>
      <c r="R59" s="2" t="s">
        <v>317</v>
      </c>
      <c r="S59" s="2" t="s">
        <v>317</v>
      </c>
      <c r="T59" s="2" t="s">
        <v>319</v>
      </c>
      <c r="U59" s="2" t="s">
        <v>318</v>
      </c>
      <c r="V59" s="2" t="s">
        <v>317</v>
      </c>
      <c r="W59" s="2" t="s">
        <v>317</v>
      </c>
      <c r="X59" s="2" t="s">
        <v>317</v>
      </c>
      <c r="Y59" s="2" t="s">
        <v>317</v>
      </c>
      <c r="Z59" s="2" t="s">
        <v>317</v>
      </c>
      <c r="AA59" s="2" t="s">
        <v>317</v>
      </c>
      <c r="AB59" s="2" t="s">
        <v>317</v>
      </c>
      <c r="AC59" s="2" t="s">
        <v>317</v>
      </c>
      <c r="AD59" s="2" t="s">
        <v>317</v>
      </c>
    </row>
    <row r="60" spans="1:30" x14ac:dyDescent="0.3">
      <c r="A60" s="2" t="s">
        <v>155</v>
      </c>
      <c r="B60" s="2" t="s">
        <v>156</v>
      </c>
      <c r="C60" s="2" t="s">
        <v>317</v>
      </c>
      <c r="D60" s="2" t="s">
        <v>317</v>
      </c>
      <c r="E60" s="2" t="s">
        <v>317</v>
      </c>
      <c r="F60" s="2" t="s">
        <v>317</v>
      </c>
      <c r="G60" s="2" t="s">
        <v>317</v>
      </c>
      <c r="H60" s="2" t="s">
        <v>317</v>
      </c>
      <c r="I60" s="2" t="s">
        <v>317</v>
      </c>
      <c r="J60" s="2" t="s">
        <v>317</v>
      </c>
      <c r="K60" s="2" t="s">
        <v>317</v>
      </c>
      <c r="L60" s="2" t="s">
        <v>319</v>
      </c>
      <c r="M60" s="2" t="s">
        <v>317</v>
      </c>
      <c r="N60" s="2" t="s">
        <v>317</v>
      </c>
      <c r="O60" s="2" t="s">
        <v>317</v>
      </c>
      <c r="P60" s="2" t="s">
        <v>317</v>
      </c>
      <c r="Q60" s="2" t="s">
        <v>317</v>
      </c>
      <c r="R60" s="2" t="s">
        <v>318</v>
      </c>
      <c r="S60" s="2" t="s">
        <v>317</v>
      </c>
      <c r="T60" s="2" t="s">
        <v>317</v>
      </c>
      <c r="U60" s="2" t="s">
        <v>317</v>
      </c>
      <c r="V60" s="2" t="s">
        <v>317</v>
      </c>
      <c r="W60" s="2" t="s">
        <v>317</v>
      </c>
      <c r="X60" s="2" t="s">
        <v>317</v>
      </c>
      <c r="Y60" s="2" t="s">
        <v>317</v>
      </c>
      <c r="Z60" s="2" t="s">
        <v>317</v>
      </c>
      <c r="AA60" s="2" t="s">
        <v>317</v>
      </c>
      <c r="AB60" s="2" t="s">
        <v>317</v>
      </c>
      <c r="AC60" s="2" t="s">
        <v>318</v>
      </c>
      <c r="AD60" s="2" t="s">
        <v>317</v>
      </c>
    </row>
    <row r="61" spans="1:30" x14ac:dyDescent="0.3">
      <c r="A61" s="2" t="s">
        <v>157</v>
      </c>
      <c r="B61" s="2" t="s">
        <v>158</v>
      </c>
      <c r="C61" s="2" t="s">
        <v>320</v>
      </c>
      <c r="D61" s="2" t="s">
        <v>317</v>
      </c>
      <c r="E61" s="2" t="s">
        <v>317</v>
      </c>
      <c r="F61" s="2" t="s">
        <v>317</v>
      </c>
      <c r="G61" s="2" t="s">
        <v>317</v>
      </c>
      <c r="H61" s="2" t="s">
        <v>317</v>
      </c>
      <c r="I61" s="2" t="s">
        <v>317</v>
      </c>
      <c r="J61" s="2" t="s">
        <v>318</v>
      </c>
      <c r="K61" s="2" t="s">
        <v>317</v>
      </c>
      <c r="L61" s="2" t="s">
        <v>317</v>
      </c>
      <c r="M61" s="2" t="s">
        <v>317</v>
      </c>
      <c r="N61" s="2" t="s">
        <v>318</v>
      </c>
      <c r="O61" s="2" t="s">
        <v>317</v>
      </c>
      <c r="P61" s="2" t="s">
        <v>317</v>
      </c>
      <c r="Q61" s="2" t="s">
        <v>317</v>
      </c>
      <c r="R61" s="2" t="s">
        <v>317</v>
      </c>
      <c r="S61" s="2" t="s">
        <v>317</v>
      </c>
      <c r="T61" s="2" t="s">
        <v>317</v>
      </c>
      <c r="U61" s="2" t="s">
        <v>317</v>
      </c>
      <c r="V61" s="2" t="s">
        <v>317</v>
      </c>
      <c r="W61" s="2" t="s">
        <v>317</v>
      </c>
      <c r="X61" s="2" t="s">
        <v>317</v>
      </c>
      <c r="Y61" s="2" t="s">
        <v>317</v>
      </c>
      <c r="Z61" s="2" t="s">
        <v>317</v>
      </c>
      <c r="AA61" s="2" t="s">
        <v>317</v>
      </c>
      <c r="AB61" s="2" t="s">
        <v>317</v>
      </c>
      <c r="AC61" s="2" t="s">
        <v>317</v>
      </c>
      <c r="AD61" s="2" t="s">
        <v>317</v>
      </c>
    </row>
    <row r="62" spans="1:30" x14ac:dyDescent="0.3">
      <c r="A62" s="2" t="s">
        <v>159</v>
      </c>
      <c r="B62" s="2" t="s">
        <v>94</v>
      </c>
      <c r="C62" s="2" t="s">
        <v>317</v>
      </c>
      <c r="D62" s="2" t="s">
        <v>318</v>
      </c>
      <c r="E62" s="2" t="s">
        <v>317</v>
      </c>
      <c r="F62" s="2" t="s">
        <v>317</v>
      </c>
      <c r="G62" s="2" t="s">
        <v>319</v>
      </c>
      <c r="H62" s="2" t="s">
        <v>317</v>
      </c>
      <c r="I62" s="2" t="s">
        <v>317</v>
      </c>
      <c r="J62" s="2" t="s">
        <v>317</v>
      </c>
      <c r="K62" s="2" t="s">
        <v>317</v>
      </c>
      <c r="L62" s="2" t="s">
        <v>317</v>
      </c>
      <c r="M62" s="2" t="s">
        <v>317</v>
      </c>
      <c r="N62" s="2" t="s">
        <v>318</v>
      </c>
      <c r="O62" s="2" t="s">
        <v>320</v>
      </c>
      <c r="P62" s="2" t="s">
        <v>317</v>
      </c>
      <c r="Q62" s="2" t="s">
        <v>317</v>
      </c>
      <c r="R62" s="2" t="s">
        <v>317</v>
      </c>
      <c r="S62" s="2" t="s">
        <v>317</v>
      </c>
      <c r="T62" s="2" t="s">
        <v>317</v>
      </c>
      <c r="U62" s="2" t="s">
        <v>317</v>
      </c>
      <c r="V62" s="2" t="s">
        <v>317</v>
      </c>
      <c r="W62" s="2" t="s">
        <v>317</v>
      </c>
      <c r="X62" s="2" t="s">
        <v>317</v>
      </c>
      <c r="Y62" s="2" t="s">
        <v>317</v>
      </c>
      <c r="Z62" s="2" t="s">
        <v>317</v>
      </c>
      <c r="AA62" s="2" t="s">
        <v>318</v>
      </c>
      <c r="AB62" s="2" t="s">
        <v>317</v>
      </c>
      <c r="AC62" s="2" t="s">
        <v>317</v>
      </c>
      <c r="AD62" s="2" t="s">
        <v>317</v>
      </c>
    </row>
    <row r="63" spans="1:30" x14ac:dyDescent="0.3">
      <c r="A63" s="2" t="s">
        <v>160</v>
      </c>
      <c r="B63" s="2" t="s">
        <v>161</v>
      </c>
      <c r="C63" s="2" t="s">
        <v>317</v>
      </c>
      <c r="D63" s="2" t="s">
        <v>317</v>
      </c>
      <c r="E63" s="2" t="s">
        <v>317</v>
      </c>
      <c r="F63" s="2" t="s">
        <v>317</v>
      </c>
      <c r="G63" s="2" t="s">
        <v>319</v>
      </c>
      <c r="H63" s="2" t="s">
        <v>317</v>
      </c>
      <c r="I63" s="2" t="s">
        <v>317</v>
      </c>
      <c r="J63" s="2" t="s">
        <v>317</v>
      </c>
      <c r="K63" s="2" t="s">
        <v>317</v>
      </c>
      <c r="L63" s="2" t="s">
        <v>317</v>
      </c>
      <c r="M63" s="2" t="s">
        <v>317</v>
      </c>
      <c r="N63" s="2" t="s">
        <v>317</v>
      </c>
      <c r="O63" s="2" t="s">
        <v>317</v>
      </c>
      <c r="P63" s="2" t="s">
        <v>317</v>
      </c>
      <c r="Q63" s="2" t="s">
        <v>317</v>
      </c>
      <c r="R63" s="2" t="s">
        <v>317</v>
      </c>
      <c r="S63" s="2" t="s">
        <v>317</v>
      </c>
      <c r="T63" s="2" t="s">
        <v>319</v>
      </c>
      <c r="U63" s="2" t="s">
        <v>317</v>
      </c>
      <c r="V63" s="2" t="s">
        <v>317</v>
      </c>
      <c r="W63" s="2" t="s">
        <v>317</v>
      </c>
      <c r="X63" s="2" t="s">
        <v>317</v>
      </c>
      <c r="Y63" s="2" t="s">
        <v>317</v>
      </c>
      <c r="Z63" s="2" t="s">
        <v>317</v>
      </c>
      <c r="AA63" s="2" t="s">
        <v>317</v>
      </c>
      <c r="AB63" s="2" t="s">
        <v>317</v>
      </c>
      <c r="AC63" s="2" t="s">
        <v>317</v>
      </c>
      <c r="AD63" s="2" t="s">
        <v>317</v>
      </c>
    </row>
    <row r="64" spans="1:30" x14ac:dyDescent="0.3">
      <c r="A64" s="2" t="s">
        <v>162</v>
      </c>
      <c r="B64" s="2" t="s">
        <v>163</v>
      </c>
      <c r="C64" s="2" t="s">
        <v>317</v>
      </c>
      <c r="D64" s="2" t="s">
        <v>317</v>
      </c>
      <c r="E64" s="2" t="s">
        <v>317</v>
      </c>
      <c r="F64" s="2" t="s">
        <v>319</v>
      </c>
      <c r="G64" s="2" t="s">
        <v>317</v>
      </c>
      <c r="H64" s="2" t="s">
        <v>317</v>
      </c>
      <c r="I64" s="2" t="s">
        <v>317</v>
      </c>
      <c r="J64" s="2" t="s">
        <v>318</v>
      </c>
      <c r="K64" s="2" t="s">
        <v>317</v>
      </c>
      <c r="L64" s="2" t="s">
        <v>317</v>
      </c>
      <c r="M64" s="2" t="s">
        <v>318</v>
      </c>
      <c r="N64" s="2" t="s">
        <v>317</v>
      </c>
      <c r="O64" s="2" t="s">
        <v>317</v>
      </c>
      <c r="P64" s="2" t="s">
        <v>317</v>
      </c>
      <c r="Q64" s="2" t="s">
        <v>317</v>
      </c>
      <c r="R64" s="2" t="s">
        <v>317</v>
      </c>
      <c r="S64" s="2" t="s">
        <v>317</v>
      </c>
      <c r="T64" s="2" t="s">
        <v>317</v>
      </c>
      <c r="U64" s="2" t="s">
        <v>317</v>
      </c>
      <c r="V64" s="2" t="s">
        <v>317</v>
      </c>
      <c r="W64" s="2" t="s">
        <v>317</v>
      </c>
      <c r="X64" s="2" t="s">
        <v>318</v>
      </c>
      <c r="Y64" s="2" t="s">
        <v>317</v>
      </c>
      <c r="Z64" s="2" t="s">
        <v>317</v>
      </c>
      <c r="AA64" s="2" t="s">
        <v>317</v>
      </c>
      <c r="AB64" s="2" t="s">
        <v>317</v>
      </c>
      <c r="AC64" s="2" t="s">
        <v>317</v>
      </c>
      <c r="AD64" s="2" t="s">
        <v>317</v>
      </c>
    </row>
    <row r="65" spans="1:30" x14ac:dyDescent="0.3">
      <c r="A65" s="2" t="s">
        <v>164</v>
      </c>
      <c r="B65" s="2" t="s">
        <v>83</v>
      </c>
      <c r="C65" s="2" t="s">
        <v>317</v>
      </c>
      <c r="D65" s="2" t="s">
        <v>317</v>
      </c>
      <c r="E65" s="2" t="s">
        <v>317</v>
      </c>
      <c r="F65" s="2" t="s">
        <v>317</v>
      </c>
      <c r="G65" s="2" t="s">
        <v>317</v>
      </c>
      <c r="H65" s="2" t="s">
        <v>317</v>
      </c>
      <c r="I65" s="2" t="s">
        <v>317</v>
      </c>
      <c r="J65" s="2" t="s">
        <v>317</v>
      </c>
      <c r="K65" s="2" t="s">
        <v>317</v>
      </c>
      <c r="L65" s="2" t="s">
        <v>317</v>
      </c>
      <c r="M65" s="2" t="s">
        <v>318</v>
      </c>
      <c r="N65" s="2" t="s">
        <v>317</v>
      </c>
      <c r="O65" s="2" t="s">
        <v>320</v>
      </c>
      <c r="P65" s="2" t="s">
        <v>317</v>
      </c>
      <c r="Q65" s="2" t="s">
        <v>317</v>
      </c>
      <c r="R65" s="2" t="s">
        <v>317</v>
      </c>
      <c r="S65" s="2" t="s">
        <v>317</v>
      </c>
      <c r="T65" s="2" t="s">
        <v>317</v>
      </c>
      <c r="U65" s="2" t="s">
        <v>320</v>
      </c>
      <c r="V65" s="2" t="s">
        <v>317</v>
      </c>
      <c r="W65" s="2" t="s">
        <v>318</v>
      </c>
      <c r="X65" s="2" t="s">
        <v>317</v>
      </c>
      <c r="Y65" s="2" t="s">
        <v>317</v>
      </c>
      <c r="Z65" s="2" t="s">
        <v>317</v>
      </c>
      <c r="AA65" s="2" t="s">
        <v>317</v>
      </c>
      <c r="AB65" s="2" t="s">
        <v>317</v>
      </c>
      <c r="AC65" s="2" t="s">
        <v>317</v>
      </c>
      <c r="AD65" s="2" t="s">
        <v>317</v>
      </c>
    </row>
    <row r="66" spans="1:30" x14ac:dyDescent="0.3">
      <c r="A66" s="2" t="s">
        <v>165</v>
      </c>
      <c r="B66" s="2" t="s">
        <v>166</v>
      </c>
      <c r="C66" s="2" t="s">
        <v>317</v>
      </c>
      <c r="D66" s="2" t="s">
        <v>317</v>
      </c>
      <c r="E66" s="2" t="s">
        <v>317</v>
      </c>
      <c r="F66" s="2" t="s">
        <v>319</v>
      </c>
      <c r="G66" s="2" t="s">
        <v>317</v>
      </c>
      <c r="H66" s="2" t="s">
        <v>317</v>
      </c>
      <c r="I66" s="2" t="s">
        <v>317</v>
      </c>
      <c r="J66" s="2" t="s">
        <v>317</v>
      </c>
      <c r="K66" s="2" t="s">
        <v>317</v>
      </c>
      <c r="L66" s="2" t="s">
        <v>317</v>
      </c>
      <c r="M66" s="2" t="s">
        <v>317</v>
      </c>
      <c r="N66" s="2" t="s">
        <v>317</v>
      </c>
      <c r="O66" s="2" t="s">
        <v>317</v>
      </c>
      <c r="P66" s="2" t="s">
        <v>317</v>
      </c>
      <c r="Q66" s="2" t="s">
        <v>317</v>
      </c>
      <c r="R66" s="2" t="s">
        <v>317</v>
      </c>
      <c r="S66" s="2" t="s">
        <v>317</v>
      </c>
      <c r="T66" s="2" t="s">
        <v>317</v>
      </c>
      <c r="U66" s="2" t="s">
        <v>317</v>
      </c>
      <c r="V66" s="2" t="s">
        <v>317</v>
      </c>
      <c r="W66" s="2" t="s">
        <v>319</v>
      </c>
      <c r="X66" s="2" t="s">
        <v>318</v>
      </c>
      <c r="Y66" s="2" t="s">
        <v>317</v>
      </c>
      <c r="Z66" s="2" t="s">
        <v>317</v>
      </c>
      <c r="AA66" s="2" t="s">
        <v>320</v>
      </c>
      <c r="AB66" s="2" t="s">
        <v>317</v>
      </c>
      <c r="AC66" s="2" t="s">
        <v>320</v>
      </c>
      <c r="AD66" s="2" t="s">
        <v>317</v>
      </c>
    </row>
    <row r="67" spans="1:30" x14ac:dyDescent="0.3">
      <c r="A67" s="2" t="s">
        <v>167</v>
      </c>
      <c r="B67" s="2" t="s">
        <v>81</v>
      </c>
      <c r="C67" s="2" t="s">
        <v>320</v>
      </c>
      <c r="D67" s="2" t="s">
        <v>317</v>
      </c>
      <c r="E67" s="2" t="s">
        <v>317</v>
      </c>
      <c r="F67" s="2" t="s">
        <v>318</v>
      </c>
      <c r="G67" s="2" t="s">
        <v>320</v>
      </c>
      <c r="H67" s="2" t="s">
        <v>320</v>
      </c>
      <c r="I67" s="2" t="s">
        <v>320</v>
      </c>
      <c r="J67" s="2" t="s">
        <v>317</v>
      </c>
      <c r="K67" s="2" t="s">
        <v>317</v>
      </c>
      <c r="L67" s="2" t="s">
        <v>319</v>
      </c>
      <c r="M67" s="2" t="s">
        <v>317</v>
      </c>
      <c r="N67" s="2" t="s">
        <v>317</v>
      </c>
      <c r="O67" s="2" t="s">
        <v>317</v>
      </c>
      <c r="P67" s="2" t="s">
        <v>317</v>
      </c>
      <c r="Q67" s="2" t="s">
        <v>317</v>
      </c>
      <c r="R67" s="2" t="s">
        <v>317</v>
      </c>
      <c r="S67" s="2" t="s">
        <v>317</v>
      </c>
      <c r="T67" s="2" t="s">
        <v>317</v>
      </c>
      <c r="U67" s="2" t="s">
        <v>317</v>
      </c>
      <c r="V67" s="2" t="s">
        <v>317</v>
      </c>
      <c r="W67" s="2" t="s">
        <v>317</v>
      </c>
      <c r="X67" s="2" t="s">
        <v>317</v>
      </c>
      <c r="Y67" s="2" t="s">
        <v>317</v>
      </c>
      <c r="Z67" s="2" t="s">
        <v>318</v>
      </c>
      <c r="AA67" s="2" t="s">
        <v>317</v>
      </c>
      <c r="AB67" s="2" t="s">
        <v>317</v>
      </c>
      <c r="AC67" s="2" t="s">
        <v>317</v>
      </c>
      <c r="AD67" s="2" t="s">
        <v>317</v>
      </c>
    </row>
    <row r="68" spans="1:30" x14ac:dyDescent="0.3">
      <c r="A68" s="2" t="s">
        <v>168</v>
      </c>
      <c r="B68" s="2" t="s">
        <v>79</v>
      </c>
      <c r="C68" s="2" t="s">
        <v>317</v>
      </c>
      <c r="D68" s="2" t="s">
        <v>317</v>
      </c>
      <c r="E68" s="2" t="s">
        <v>317</v>
      </c>
      <c r="F68" s="2" t="s">
        <v>319</v>
      </c>
      <c r="G68" s="2" t="s">
        <v>317</v>
      </c>
      <c r="H68" s="2" t="s">
        <v>317</v>
      </c>
      <c r="I68" s="2" t="s">
        <v>320</v>
      </c>
      <c r="J68" s="2" t="s">
        <v>317</v>
      </c>
      <c r="K68" s="2" t="s">
        <v>317</v>
      </c>
      <c r="L68" s="2" t="s">
        <v>317</v>
      </c>
      <c r="M68" s="2" t="s">
        <v>317</v>
      </c>
      <c r="N68" s="2" t="s">
        <v>320</v>
      </c>
      <c r="O68" s="2" t="s">
        <v>317</v>
      </c>
      <c r="P68" s="2" t="s">
        <v>317</v>
      </c>
      <c r="Q68" s="2" t="s">
        <v>317</v>
      </c>
      <c r="R68" s="2" t="s">
        <v>317</v>
      </c>
      <c r="S68" s="2" t="s">
        <v>317</v>
      </c>
      <c r="T68" s="2" t="s">
        <v>317</v>
      </c>
      <c r="U68" s="2" t="s">
        <v>317</v>
      </c>
      <c r="V68" s="2" t="s">
        <v>320</v>
      </c>
      <c r="W68" s="2" t="s">
        <v>320</v>
      </c>
      <c r="X68" s="2" t="s">
        <v>317</v>
      </c>
      <c r="Y68" s="2" t="s">
        <v>317</v>
      </c>
      <c r="Z68" s="2" t="s">
        <v>317</v>
      </c>
      <c r="AA68" s="2" t="s">
        <v>317</v>
      </c>
      <c r="AB68" s="2" t="s">
        <v>317</v>
      </c>
      <c r="AC68" s="2" t="s">
        <v>318</v>
      </c>
      <c r="AD68" s="2" t="s">
        <v>317</v>
      </c>
    </row>
    <row r="69" spans="1:30" x14ac:dyDescent="0.3">
      <c r="A69" s="2" t="s">
        <v>169</v>
      </c>
      <c r="B69" s="2" t="s">
        <v>170</v>
      </c>
      <c r="C69" s="2" t="s">
        <v>317</v>
      </c>
      <c r="D69" s="2" t="s">
        <v>317</v>
      </c>
      <c r="E69" s="2" t="s">
        <v>317</v>
      </c>
      <c r="F69" s="2" t="s">
        <v>317</v>
      </c>
      <c r="G69" s="2" t="s">
        <v>317</v>
      </c>
      <c r="H69" s="2" t="s">
        <v>317</v>
      </c>
      <c r="I69" s="2" t="s">
        <v>317</v>
      </c>
      <c r="J69" s="2" t="s">
        <v>317</v>
      </c>
      <c r="K69" s="2" t="s">
        <v>318</v>
      </c>
      <c r="L69" s="2" t="s">
        <v>317</v>
      </c>
      <c r="M69" s="2" t="s">
        <v>317</v>
      </c>
      <c r="N69" s="2" t="s">
        <v>317</v>
      </c>
      <c r="O69" s="2" t="s">
        <v>317</v>
      </c>
      <c r="P69" s="2" t="s">
        <v>318</v>
      </c>
      <c r="Q69" s="2" t="s">
        <v>317</v>
      </c>
      <c r="R69" s="2" t="s">
        <v>317</v>
      </c>
      <c r="S69" s="2" t="s">
        <v>317</v>
      </c>
      <c r="T69" s="2" t="s">
        <v>317</v>
      </c>
      <c r="U69" s="2" t="s">
        <v>318</v>
      </c>
      <c r="V69" s="2" t="s">
        <v>317</v>
      </c>
      <c r="W69" s="2" t="s">
        <v>318</v>
      </c>
      <c r="X69" s="2" t="s">
        <v>318</v>
      </c>
      <c r="Y69" s="2" t="s">
        <v>317</v>
      </c>
      <c r="Z69" s="2" t="s">
        <v>317</v>
      </c>
      <c r="AA69" s="2" t="s">
        <v>317</v>
      </c>
      <c r="AB69" s="2" t="s">
        <v>317</v>
      </c>
      <c r="AC69" s="2" t="s">
        <v>317</v>
      </c>
      <c r="AD69" s="2" t="s">
        <v>319</v>
      </c>
    </row>
    <row r="70" spans="1:30" x14ac:dyDescent="0.3">
      <c r="A70" s="2" t="s">
        <v>171</v>
      </c>
      <c r="B70" s="2" t="s">
        <v>172</v>
      </c>
      <c r="C70" s="2" t="s">
        <v>317</v>
      </c>
      <c r="D70" s="2" t="s">
        <v>317</v>
      </c>
      <c r="E70" s="2" t="s">
        <v>317</v>
      </c>
      <c r="F70" s="2" t="s">
        <v>317</v>
      </c>
      <c r="G70" s="2" t="s">
        <v>317</v>
      </c>
      <c r="H70" s="2" t="s">
        <v>317</v>
      </c>
      <c r="I70" s="2" t="s">
        <v>317</v>
      </c>
      <c r="J70" s="2" t="s">
        <v>319</v>
      </c>
      <c r="K70" s="2" t="s">
        <v>317</v>
      </c>
      <c r="L70" s="2" t="s">
        <v>317</v>
      </c>
      <c r="M70" s="2" t="s">
        <v>317</v>
      </c>
      <c r="N70" s="2" t="s">
        <v>317</v>
      </c>
      <c r="O70" s="2" t="s">
        <v>317</v>
      </c>
      <c r="P70" s="2" t="s">
        <v>317</v>
      </c>
      <c r="Q70" s="2" t="s">
        <v>317</v>
      </c>
      <c r="R70" s="2" t="s">
        <v>317</v>
      </c>
      <c r="S70" s="2" t="s">
        <v>317</v>
      </c>
      <c r="T70" s="2" t="s">
        <v>317</v>
      </c>
      <c r="U70" s="2" t="s">
        <v>317</v>
      </c>
      <c r="V70" s="2" t="s">
        <v>317</v>
      </c>
      <c r="W70" s="2" t="s">
        <v>317</v>
      </c>
      <c r="X70" s="2" t="s">
        <v>317</v>
      </c>
      <c r="Y70" s="2" t="s">
        <v>317</v>
      </c>
      <c r="Z70" s="2" t="s">
        <v>317</v>
      </c>
      <c r="AA70" s="2" t="s">
        <v>317</v>
      </c>
      <c r="AB70" s="2" t="s">
        <v>317</v>
      </c>
      <c r="AC70" s="2" t="s">
        <v>317</v>
      </c>
      <c r="AD70" s="2" t="s">
        <v>318</v>
      </c>
    </row>
    <row r="71" spans="1:30" x14ac:dyDescent="0.3">
      <c r="A71" s="2" t="s">
        <v>173</v>
      </c>
      <c r="B71" s="2" t="s">
        <v>174</v>
      </c>
      <c r="C71" s="2" t="s">
        <v>317</v>
      </c>
      <c r="D71" s="2" t="s">
        <v>320</v>
      </c>
      <c r="E71" s="2" t="s">
        <v>318</v>
      </c>
      <c r="F71" s="2" t="s">
        <v>317</v>
      </c>
      <c r="G71" s="2" t="s">
        <v>317</v>
      </c>
      <c r="H71" s="2" t="s">
        <v>317</v>
      </c>
      <c r="I71" s="2" t="s">
        <v>318</v>
      </c>
      <c r="J71" s="2" t="s">
        <v>317</v>
      </c>
      <c r="K71" s="2" t="s">
        <v>317</v>
      </c>
      <c r="L71" s="2" t="s">
        <v>317</v>
      </c>
      <c r="M71" s="2" t="s">
        <v>317</v>
      </c>
      <c r="N71" s="2" t="s">
        <v>317</v>
      </c>
      <c r="O71" s="2" t="s">
        <v>317</v>
      </c>
      <c r="P71" s="2" t="s">
        <v>318</v>
      </c>
      <c r="Q71" s="2" t="s">
        <v>317</v>
      </c>
      <c r="R71" s="2" t="s">
        <v>317</v>
      </c>
      <c r="S71" s="2" t="s">
        <v>317</v>
      </c>
      <c r="T71" s="2" t="s">
        <v>317</v>
      </c>
      <c r="U71" s="2" t="s">
        <v>317</v>
      </c>
      <c r="V71" s="2" t="s">
        <v>317</v>
      </c>
      <c r="W71" s="2" t="s">
        <v>317</v>
      </c>
      <c r="X71" s="2" t="s">
        <v>317</v>
      </c>
      <c r="Y71" s="2" t="s">
        <v>317</v>
      </c>
      <c r="Z71" s="2" t="s">
        <v>317</v>
      </c>
      <c r="AA71" s="2" t="s">
        <v>317</v>
      </c>
      <c r="AB71" s="2" t="s">
        <v>317</v>
      </c>
      <c r="AC71" s="2" t="s">
        <v>317</v>
      </c>
      <c r="AD71" s="2" t="s">
        <v>317</v>
      </c>
    </row>
    <row r="72" spans="1:30" x14ac:dyDescent="0.3">
      <c r="A72" s="2" t="s">
        <v>175</v>
      </c>
      <c r="B72" s="2" t="s">
        <v>176</v>
      </c>
      <c r="C72" s="2" t="s">
        <v>319</v>
      </c>
      <c r="D72" s="2" t="s">
        <v>317</v>
      </c>
      <c r="E72" s="2" t="s">
        <v>317</v>
      </c>
      <c r="F72" s="2" t="s">
        <v>317</v>
      </c>
      <c r="G72" s="2" t="s">
        <v>317</v>
      </c>
      <c r="H72" s="2" t="s">
        <v>317</v>
      </c>
      <c r="I72" s="2" t="s">
        <v>317</v>
      </c>
      <c r="J72" s="2" t="s">
        <v>317</v>
      </c>
      <c r="K72" s="2" t="s">
        <v>317</v>
      </c>
      <c r="L72" s="2" t="s">
        <v>317</v>
      </c>
      <c r="M72" s="2" t="s">
        <v>317</v>
      </c>
      <c r="N72" s="2" t="s">
        <v>319</v>
      </c>
      <c r="O72" s="2" t="s">
        <v>317</v>
      </c>
      <c r="P72" s="2" t="s">
        <v>317</v>
      </c>
      <c r="Q72" s="2" t="s">
        <v>318</v>
      </c>
      <c r="R72" s="2" t="s">
        <v>317</v>
      </c>
      <c r="S72" s="2" t="s">
        <v>317</v>
      </c>
      <c r="T72" s="2" t="s">
        <v>317</v>
      </c>
      <c r="U72" s="2" t="s">
        <v>318</v>
      </c>
      <c r="V72" s="2" t="s">
        <v>317</v>
      </c>
      <c r="W72" s="2" t="s">
        <v>317</v>
      </c>
      <c r="X72" s="2" t="s">
        <v>317</v>
      </c>
      <c r="Y72" s="2" t="s">
        <v>317</v>
      </c>
      <c r="Z72" s="2" t="s">
        <v>317</v>
      </c>
      <c r="AA72" s="2" t="s">
        <v>317</v>
      </c>
      <c r="AB72" s="2" t="s">
        <v>317</v>
      </c>
      <c r="AC72" s="2" t="s">
        <v>319</v>
      </c>
      <c r="AD72" s="2" t="s">
        <v>317</v>
      </c>
    </row>
    <row r="73" spans="1:30" x14ac:dyDescent="0.3">
      <c r="A73" s="2" t="s">
        <v>177</v>
      </c>
      <c r="B73" s="2" t="s">
        <v>178</v>
      </c>
      <c r="C73" s="2" t="s">
        <v>317</v>
      </c>
      <c r="D73" s="2" t="s">
        <v>317</v>
      </c>
      <c r="E73" s="2" t="s">
        <v>317</v>
      </c>
      <c r="F73" s="2" t="s">
        <v>317</v>
      </c>
      <c r="G73" s="2" t="s">
        <v>319</v>
      </c>
      <c r="H73" s="2" t="s">
        <v>317</v>
      </c>
      <c r="I73" s="2" t="s">
        <v>317</v>
      </c>
      <c r="J73" s="2" t="s">
        <v>317</v>
      </c>
      <c r="K73" s="2" t="s">
        <v>317</v>
      </c>
      <c r="L73" s="2" t="s">
        <v>317</v>
      </c>
      <c r="M73" s="2" t="s">
        <v>317</v>
      </c>
      <c r="N73" s="2" t="s">
        <v>317</v>
      </c>
      <c r="O73" s="2" t="s">
        <v>317</v>
      </c>
      <c r="P73" s="2" t="s">
        <v>318</v>
      </c>
      <c r="Q73" s="2" t="s">
        <v>319</v>
      </c>
      <c r="R73" s="2" t="s">
        <v>317</v>
      </c>
      <c r="S73" s="2" t="s">
        <v>317</v>
      </c>
      <c r="T73" s="2" t="s">
        <v>317</v>
      </c>
      <c r="U73" s="2" t="s">
        <v>317</v>
      </c>
      <c r="V73" s="2" t="s">
        <v>317</v>
      </c>
      <c r="W73" s="2" t="s">
        <v>317</v>
      </c>
      <c r="X73" s="2" t="s">
        <v>317</v>
      </c>
      <c r="Y73" s="2" t="s">
        <v>317</v>
      </c>
      <c r="Z73" s="2" t="s">
        <v>317</v>
      </c>
      <c r="AA73" s="2" t="s">
        <v>318</v>
      </c>
      <c r="AB73" s="2" t="s">
        <v>317</v>
      </c>
      <c r="AC73" s="2" t="s">
        <v>317</v>
      </c>
      <c r="AD73" s="2" t="s">
        <v>317</v>
      </c>
    </row>
    <row r="74" spans="1:30" x14ac:dyDescent="0.3">
      <c r="A74" s="2" t="s">
        <v>179</v>
      </c>
      <c r="B74" s="2" t="s">
        <v>73</v>
      </c>
      <c r="C74" s="2" t="s">
        <v>317</v>
      </c>
      <c r="D74" s="2" t="s">
        <v>317</v>
      </c>
      <c r="E74" s="2" t="s">
        <v>317</v>
      </c>
      <c r="F74" s="2" t="s">
        <v>317</v>
      </c>
      <c r="G74" s="2" t="s">
        <v>319</v>
      </c>
      <c r="H74" s="2" t="s">
        <v>317</v>
      </c>
      <c r="I74" s="2" t="s">
        <v>317</v>
      </c>
      <c r="J74" s="2" t="s">
        <v>317</v>
      </c>
      <c r="K74" s="2" t="s">
        <v>317</v>
      </c>
      <c r="L74" s="2" t="s">
        <v>317</v>
      </c>
      <c r="M74" s="2" t="s">
        <v>317</v>
      </c>
      <c r="N74" s="2" t="s">
        <v>317</v>
      </c>
      <c r="O74" s="2" t="s">
        <v>317</v>
      </c>
      <c r="P74" s="2" t="s">
        <v>317</v>
      </c>
      <c r="Q74" s="2" t="s">
        <v>317</v>
      </c>
      <c r="R74" s="2" t="s">
        <v>317</v>
      </c>
      <c r="S74" s="2" t="s">
        <v>317</v>
      </c>
      <c r="T74" s="2" t="s">
        <v>317</v>
      </c>
      <c r="U74" s="2" t="s">
        <v>317</v>
      </c>
      <c r="V74" s="2" t="s">
        <v>317</v>
      </c>
      <c r="W74" s="2" t="s">
        <v>318</v>
      </c>
      <c r="X74" s="2" t="s">
        <v>317</v>
      </c>
      <c r="Y74" s="2" t="s">
        <v>317</v>
      </c>
      <c r="Z74" s="2" t="s">
        <v>320</v>
      </c>
      <c r="AA74" s="2" t="s">
        <v>317</v>
      </c>
      <c r="AB74" s="2" t="s">
        <v>319</v>
      </c>
      <c r="AC74" s="2" t="s">
        <v>317</v>
      </c>
      <c r="AD74" s="2" t="s">
        <v>317</v>
      </c>
    </row>
    <row r="75" spans="1:30" x14ac:dyDescent="0.3">
      <c r="A75" s="2" t="s">
        <v>180</v>
      </c>
      <c r="B75" s="2" t="s">
        <v>83</v>
      </c>
      <c r="C75" s="2" t="s">
        <v>317</v>
      </c>
      <c r="D75" s="2" t="s">
        <v>317</v>
      </c>
      <c r="E75" s="2" t="s">
        <v>317</v>
      </c>
      <c r="F75" s="2" t="s">
        <v>318</v>
      </c>
      <c r="G75" s="2" t="s">
        <v>317</v>
      </c>
      <c r="H75" s="2" t="s">
        <v>318</v>
      </c>
      <c r="I75" s="2" t="s">
        <v>317</v>
      </c>
      <c r="J75" s="2" t="s">
        <v>317</v>
      </c>
      <c r="K75" s="2" t="s">
        <v>317</v>
      </c>
      <c r="L75" s="2" t="s">
        <v>317</v>
      </c>
      <c r="M75" s="2" t="s">
        <v>317</v>
      </c>
      <c r="N75" s="2" t="s">
        <v>317</v>
      </c>
      <c r="O75" s="2" t="s">
        <v>317</v>
      </c>
      <c r="P75" s="2" t="s">
        <v>317</v>
      </c>
      <c r="Q75" s="2" t="s">
        <v>317</v>
      </c>
      <c r="R75" s="2" t="s">
        <v>317</v>
      </c>
      <c r="S75" s="2" t="s">
        <v>317</v>
      </c>
      <c r="T75" s="2" t="s">
        <v>318</v>
      </c>
      <c r="U75" s="2" t="s">
        <v>317</v>
      </c>
      <c r="V75" s="2" t="s">
        <v>317</v>
      </c>
      <c r="W75" s="2" t="s">
        <v>317</v>
      </c>
      <c r="X75" s="2" t="s">
        <v>317</v>
      </c>
      <c r="Y75" s="2" t="s">
        <v>317</v>
      </c>
      <c r="Z75" s="2" t="s">
        <v>317</v>
      </c>
      <c r="AA75" s="2" t="s">
        <v>317</v>
      </c>
      <c r="AB75" s="2" t="s">
        <v>317</v>
      </c>
      <c r="AC75" s="2" t="s">
        <v>317</v>
      </c>
      <c r="AD75" s="2" t="s">
        <v>317</v>
      </c>
    </row>
    <row r="76" spans="1:30" x14ac:dyDescent="0.3">
      <c r="A76" s="2" t="s">
        <v>181</v>
      </c>
      <c r="B76" s="2" t="s">
        <v>182</v>
      </c>
      <c r="C76" s="2" t="s">
        <v>317</v>
      </c>
      <c r="D76" s="2" t="s">
        <v>320</v>
      </c>
      <c r="E76" s="2" t="s">
        <v>317</v>
      </c>
      <c r="F76" s="2" t="s">
        <v>317</v>
      </c>
      <c r="G76" s="2" t="s">
        <v>317</v>
      </c>
      <c r="H76" s="2" t="s">
        <v>317</v>
      </c>
      <c r="I76" s="2" t="s">
        <v>317</v>
      </c>
      <c r="J76" s="2" t="s">
        <v>317</v>
      </c>
      <c r="K76" s="2" t="s">
        <v>317</v>
      </c>
      <c r="L76" s="2" t="s">
        <v>317</v>
      </c>
      <c r="M76" s="2" t="s">
        <v>317</v>
      </c>
      <c r="N76" s="2" t="s">
        <v>317</v>
      </c>
      <c r="O76" s="2" t="s">
        <v>317</v>
      </c>
      <c r="P76" s="2" t="s">
        <v>317</v>
      </c>
      <c r="Q76" s="2" t="s">
        <v>320</v>
      </c>
      <c r="R76" s="2" t="s">
        <v>318</v>
      </c>
      <c r="S76" s="2" t="s">
        <v>317</v>
      </c>
      <c r="T76" s="2" t="s">
        <v>317</v>
      </c>
      <c r="U76" s="2" t="s">
        <v>317</v>
      </c>
      <c r="V76" s="2" t="s">
        <v>317</v>
      </c>
      <c r="W76" s="2" t="s">
        <v>317</v>
      </c>
      <c r="X76" s="2" t="s">
        <v>317</v>
      </c>
      <c r="Y76" s="2" t="s">
        <v>317</v>
      </c>
      <c r="Z76" s="2" t="s">
        <v>317</v>
      </c>
      <c r="AA76" s="2" t="s">
        <v>317</v>
      </c>
      <c r="AB76" s="2" t="s">
        <v>317</v>
      </c>
      <c r="AC76" s="2" t="s">
        <v>320</v>
      </c>
      <c r="AD76" s="2" t="s">
        <v>317</v>
      </c>
    </row>
    <row r="77" spans="1:30" x14ac:dyDescent="0.3">
      <c r="A77" s="2" t="s">
        <v>183</v>
      </c>
      <c r="B77" s="2" t="s">
        <v>184</v>
      </c>
      <c r="C77" s="2" t="s">
        <v>317</v>
      </c>
      <c r="D77" s="2" t="s">
        <v>317</v>
      </c>
      <c r="E77" s="2" t="s">
        <v>317</v>
      </c>
      <c r="F77" s="2" t="s">
        <v>317</v>
      </c>
      <c r="G77" s="2" t="s">
        <v>317</v>
      </c>
      <c r="H77" s="2" t="s">
        <v>317</v>
      </c>
      <c r="I77" s="2" t="s">
        <v>317</v>
      </c>
      <c r="J77" s="2" t="s">
        <v>317</v>
      </c>
      <c r="K77" s="2" t="s">
        <v>317</v>
      </c>
      <c r="L77" s="2" t="s">
        <v>317</v>
      </c>
      <c r="M77" s="2" t="s">
        <v>317</v>
      </c>
      <c r="N77" s="2" t="s">
        <v>317</v>
      </c>
      <c r="O77" s="2" t="s">
        <v>317</v>
      </c>
      <c r="P77" s="2" t="s">
        <v>317</v>
      </c>
      <c r="Q77" s="2" t="s">
        <v>317</v>
      </c>
      <c r="R77" s="2" t="s">
        <v>317</v>
      </c>
      <c r="S77" s="2" t="s">
        <v>317</v>
      </c>
      <c r="T77" s="2" t="s">
        <v>317</v>
      </c>
      <c r="U77" s="2" t="s">
        <v>317</v>
      </c>
      <c r="V77" s="2" t="s">
        <v>317</v>
      </c>
      <c r="W77" s="2" t="s">
        <v>317</v>
      </c>
      <c r="X77" s="2" t="s">
        <v>319</v>
      </c>
      <c r="Y77" s="2" t="s">
        <v>317</v>
      </c>
      <c r="Z77" s="2" t="s">
        <v>317</v>
      </c>
      <c r="AA77" s="2" t="s">
        <v>320</v>
      </c>
      <c r="AB77" s="2" t="s">
        <v>317</v>
      </c>
      <c r="AC77" s="2" t="s">
        <v>317</v>
      </c>
      <c r="AD77" s="2" t="s">
        <v>317</v>
      </c>
    </row>
    <row r="78" spans="1:30" x14ac:dyDescent="0.3">
      <c r="A78" s="2" t="s">
        <v>185</v>
      </c>
      <c r="B78" s="2" t="s">
        <v>184</v>
      </c>
      <c r="C78" s="2" t="s">
        <v>317</v>
      </c>
      <c r="D78" s="2" t="s">
        <v>318</v>
      </c>
      <c r="E78" s="2" t="s">
        <v>317</v>
      </c>
      <c r="F78" s="2" t="s">
        <v>318</v>
      </c>
      <c r="G78" s="2" t="s">
        <v>318</v>
      </c>
      <c r="H78" s="2" t="s">
        <v>317</v>
      </c>
      <c r="I78" s="2" t="s">
        <v>317</v>
      </c>
      <c r="J78" s="2" t="s">
        <v>317</v>
      </c>
      <c r="K78" s="2" t="s">
        <v>317</v>
      </c>
      <c r="L78" s="2" t="s">
        <v>317</v>
      </c>
      <c r="M78" s="2" t="s">
        <v>317</v>
      </c>
      <c r="N78" s="2" t="s">
        <v>317</v>
      </c>
      <c r="O78" s="2" t="s">
        <v>317</v>
      </c>
      <c r="P78" s="2" t="s">
        <v>317</v>
      </c>
      <c r="Q78" s="2" t="s">
        <v>317</v>
      </c>
      <c r="R78" s="2" t="s">
        <v>317</v>
      </c>
      <c r="S78" s="2" t="s">
        <v>319</v>
      </c>
      <c r="T78" s="2" t="s">
        <v>320</v>
      </c>
      <c r="U78" s="2" t="s">
        <v>317</v>
      </c>
      <c r="V78" s="2" t="s">
        <v>318</v>
      </c>
      <c r="W78" s="2" t="s">
        <v>317</v>
      </c>
      <c r="X78" s="2" t="s">
        <v>317</v>
      </c>
      <c r="Y78" s="2" t="s">
        <v>320</v>
      </c>
      <c r="Z78" s="2" t="s">
        <v>317</v>
      </c>
      <c r="AA78" s="2" t="s">
        <v>320</v>
      </c>
      <c r="AB78" s="2" t="s">
        <v>317</v>
      </c>
      <c r="AC78" s="2" t="s">
        <v>317</v>
      </c>
      <c r="AD78" s="2" t="s">
        <v>317</v>
      </c>
    </row>
    <row r="79" spans="1:30" x14ac:dyDescent="0.3">
      <c r="A79" s="2" t="s">
        <v>186</v>
      </c>
      <c r="B79" s="2" t="s">
        <v>187</v>
      </c>
      <c r="C79" s="2" t="s">
        <v>317</v>
      </c>
      <c r="D79" s="2" t="s">
        <v>317</v>
      </c>
      <c r="E79" s="2" t="s">
        <v>317</v>
      </c>
      <c r="F79" s="2" t="s">
        <v>317</v>
      </c>
      <c r="G79" s="2" t="s">
        <v>317</v>
      </c>
      <c r="H79" s="2" t="s">
        <v>317</v>
      </c>
      <c r="I79" s="2" t="s">
        <v>317</v>
      </c>
      <c r="J79" s="2" t="s">
        <v>317</v>
      </c>
      <c r="K79" s="2" t="s">
        <v>317</v>
      </c>
      <c r="L79" s="2" t="s">
        <v>318</v>
      </c>
      <c r="M79" s="2" t="s">
        <v>318</v>
      </c>
      <c r="N79" s="2" t="s">
        <v>317</v>
      </c>
      <c r="O79" s="2" t="s">
        <v>317</v>
      </c>
      <c r="P79" s="2" t="s">
        <v>317</v>
      </c>
      <c r="Q79" s="2" t="s">
        <v>318</v>
      </c>
      <c r="R79" s="2" t="s">
        <v>317</v>
      </c>
      <c r="S79" s="2" t="s">
        <v>317</v>
      </c>
      <c r="T79" s="2" t="s">
        <v>317</v>
      </c>
      <c r="U79" s="2" t="s">
        <v>317</v>
      </c>
      <c r="V79" s="2" t="s">
        <v>317</v>
      </c>
      <c r="W79" s="2" t="s">
        <v>317</v>
      </c>
      <c r="X79" s="2" t="s">
        <v>317</v>
      </c>
      <c r="Y79" s="2" t="s">
        <v>317</v>
      </c>
      <c r="Z79" s="2" t="s">
        <v>317</v>
      </c>
      <c r="AA79" s="2" t="s">
        <v>317</v>
      </c>
      <c r="AB79" s="2" t="s">
        <v>317</v>
      </c>
      <c r="AC79" s="2" t="s">
        <v>317</v>
      </c>
      <c r="AD79" s="2" t="s">
        <v>320</v>
      </c>
    </row>
    <row r="80" spans="1:30" x14ac:dyDescent="0.3">
      <c r="A80" s="2" t="s">
        <v>188</v>
      </c>
      <c r="B80" s="2" t="s">
        <v>189</v>
      </c>
      <c r="C80" s="2" t="s">
        <v>317</v>
      </c>
      <c r="D80" s="2" t="s">
        <v>317</v>
      </c>
      <c r="E80" s="2" t="s">
        <v>317</v>
      </c>
      <c r="F80" s="2" t="s">
        <v>317</v>
      </c>
      <c r="G80" s="2" t="s">
        <v>317</v>
      </c>
      <c r="H80" s="2" t="s">
        <v>317</v>
      </c>
      <c r="I80" s="2" t="s">
        <v>317</v>
      </c>
      <c r="J80" s="2" t="s">
        <v>319</v>
      </c>
      <c r="K80" s="2" t="s">
        <v>317</v>
      </c>
      <c r="L80" s="2" t="s">
        <v>317</v>
      </c>
      <c r="M80" s="2" t="s">
        <v>317</v>
      </c>
      <c r="N80" s="2" t="s">
        <v>317</v>
      </c>
      <c r="O80" s="2" t="s">
        <v>317</v>
      </c>
      <c r="P80" s="2" t="s">
        <v>317</v>
      </c>
      <c r="Q80" s="2" t="s">
        <v>317</v>
      </c>
      <c r="R80" s="2" t="s">
        <v>317</v>
      </c>
      <c r="S80" s="2" t="s">
        <v>317</v>
      </c>
      <c r="T80" s="2" t="s">
        <v>317</v>
      </c>
      <c r="U80" s="2" t="s">
        <v>317</v>
      </c>
      <c r="V80" s="2" t="s">
        <v>317</v>
      </c>
      <c r="W80" s="2" t="s">
        <v>317</v>
      </c>
      <c r="X80" s="2" t="s">
        <v>318</v>
      </c>
      <c r="Y80" s="2" t="s">
        <v>317</v>
      </c>
      <c r="Z80" s="2" t="s">
        <v>317</v>
      </c>
      <c r="AA80" s="2" t="s">
        <v>320</v>
      </c>
      <c r="AB80" s="2" t="s">
        <v>317</v>
      </c>
      <c r="AC80" s="2" t="s">
        <v>317</v>
      </c>
      <c r="AD80" s="2" t="s">
        <v>317</v>
      </c>
    </row>
    <row r="81" spans="1:30" x14ac:dyDescent="0.3">
      <c r="A81" s="2" t="s">
        <v>190</v>
      </c>
      <c r="B81" s="2" t="s">
        <v>156</v>
      </c>
      <c r="C81" s="2" t="s">
        <v>317</v>
      </c>
      <c r="D81" s="2" t="s">
        <v>317</v>
      </c>
      <c r="E81" s="2" t="s">
        <v>317</v>
      </c>
      <c r="F81" s="2" t="s">
        <v>317</v>
      </c>
      <c r="G81" s="2" t="s">
        <v>317</v>
      </c>
      <c r="H81" s="2" t="s">
        <v>317</v>
      </c>
      <c r="I81" s="2" t="s">
        <v>317</v>
      </c>
      <c r="J81" s="2" t="s">
        <v>317</v>
      </c>
      <c r="K81" s="2" t="s">
        <v>317</v>
      </c>
      <c r="L81" s="2" t="s">
        <v>317</v>
      </c>
      <c r="M81" s="2" t="s">
        <v>317</v>
      </c>
      <c r="N81" s="2" t="s">
        <v>317</v>
      </c>
      <c r="O81" s="2" t="s">
        <v>317</v>
      </c>
      <c r="P81" s="2" t="s">
        <v>317</v>
      </c>
      <c r="Q81" s="2" t="s">
        <v>319</v>
      </c>
      <c r="R81" s="2" t="s">
        <v>317</v>
      </c>
      <c r="S81" s="2" t="s">
        <v>317</v>
      </c>
      <c r="T81" s="2" t="s">
        <v>317</v>
      </c>
      <c r="U81" s="2" t="s">
        <v>317</v>
      </c>
      <c r="V81" s="2" t="s">
        <v>317</v>
      </c>
      <c r="W81" s="2" t="s">
        <v>317</v>
      </c>
      <c r="X81" s="2" t="s">
        <v>317</v>
      </c>
      <c r="Y81" s="2" t="s">
        <v>317</v>
      </c>
      <c r="Z81" s="2" t="s">
        <v>317</v>
      </c>
      <c r="AA81" s="2" t="s">
        <v>317</v>
      </c>
      <c r="AB81" s="2" t="s">
        <v>317</v>
      </c>
      <c r="AC81" s="2" t="s">
        <v>318</v>
      </c>
      <c r="AD81" s="2" t="s">
        <v>317</v>
      </c>
    </row>
    <row r="82" spans="1:30" x14ac:dyDescent="0.3">
      <c r="A82" s="2" t="s">
        <v>191</v>
      </c>
      <c r="B82" s="2" t="s">
        <v>192</v>
      </c>
      <c r="C82" s="2" t="s">
        <v>317</v>
      </c>
      <c r="D82" s="2" t="s">
        <v>317</v>
      </c>
      <c r="E82" s="2" t="s">
        <v>317</v>
      </c>
      <c r="F82" s="2" t="s">
        <v>317</v>
      </c>
      <c r="G82" s="2" t="s">
        <v>317</v>
      </c>
      <c r="H82" s="2" t="s">
        <v>317</v>
      </c>
      <c r="I82" s="2" t="s">
        <v>317</v>
      </c>
      <c r="J82" s="2" t="s">
        <v>318</v>
      </c>
      <c r="K82" s="2" t="s">
        <v>317</v>
      </c>
      <c r="L82" s="2" t="s">
        <v>317</v>
      </c>
      <c r="M82" s="2" t="s">
        <v>317</v>
      </c>
      <c r="N82" s="2" t="s">
        <v>317</v>
      </c>
      <c r="O82" s="2" t="s">
        <v>317</v>
      </c>
      <c r="P82" s="2" t="s">
        <v>317</v>
      </c>
      <c r="Q82" s="2" t="s">
        <v>317</v>
      </c>
      <c r="R82" s="2" t="s">
        <v>317</v>
      </c>
      <c r="S82" s="2" t="s">
        <v>317</v>
      </c>
      <c r="T82" s="2" t="s">
        <v>317</v>
      </c>
      <c r="U82" s="2" t="s">
        <v>317</v>
      </c>
      <c r="V82" s="2" t="s">
        <v>317</v>
      </c>
      <c r="W82" s="2" t="s">
        <v>318</v>
      </c>
      <c r="X82" s="2" t="s">
        <v>317</v>
      </c>
      <c r="Y82" s="2" t="s">
        <v>317</v>
      </c>
      <c r="Z82" s="2" t="s">
        <v>317</v>
      </c>
      <c r="AA82" s="2" t="s">
        <v>317</v>
      </c>
      <c r="AB82" s="2" t="s">
        <v>317</v>
      </c>
      <c r="AC82" s="2" t="s">
        <v>320</v>
      </c>
      <c r="AD82" s="2" t="s">
        <v>317</v>
      </c>
    </row>
    <row r="83" spans="1:30" x14ac:dyDescent="0.3">
      <c r="A83" s="2" t="s">
        <v>193</v>
      </c>
      <c r="B83" s="2" t="s">
        <v>194</v>
      </c>
      <c r="C83" s="2" t="s">
        <v>317</v>
      </c>
      <c r="D83" s="2" t="s">
        <v>317</v>
      </c>
      <c r="E83" s="2" t="s">
        <v>317</v>
      </c>
      <c r="F83" s="2" t="s">
        <v>317</v>
      </c>
      <c r="G83" s="2" t="s">
        <v>318</v>
      </c>
      <c r="H83" s="2" t="s">
        <v>317</v>
      </c>
      <c r="I83" s="2" t="s">
        <v>317</v>
      </c>
      <c r="J83" s="2" t="s">
        <v>317</v>
      </c>
      <c r="K83" s="2" t="s">
        <v>317</v>
      </c>
      <c r="L83" s="2" t="s">
        <v>317</v>
      </c>
      <c r="M83" s="2" t="s">
        <v>320</v>
      </c>
      <c r="N83" s="2" t="s">
        <v>317</v>
      </c>
      <c r="O83" s="2" t="s">
        <v>317</v>
      </c>
      <c r="P83" s="2" t="s">
        <v>317</v>
      </c>
      <c r="Q83" s="2" t="s">
        <v>317</v>
      </c>
      <c r="R83" s="2" t="s">
        <v>317</v>
      </c>
      <c r="S83" s="2" t="s">
        <v>318</v>
      </c>
      <c r="T83" s="2" t="s">
        <v>317</v>
      </c>
      <c r="U83" s="2" t="s">
        <v>320</v>
      </c>
      <c r="V83" s="2" t="s">
        <v>317</v>
      </c>
      <c r="W83" s="2" t="s">
        <v>317</v>
      </c>
      <c r="X83" s="2" t="s">
        <v>317</v>
      </c>
      <c r="Y83" s="2" t="s">
        <v>317</v>
      </c>
      <c r="Z83" s="2" t="s">
        <v>317</v>
      </c>
      <c r="AA83" s="2" t="s">
        <v>317</v>
      </c>
      <c r="AB83" s="2" t="s">
        <v>317</v>
      </c>
      <c r="AC83" s="2" t="s">
        <v>317</v>
      </c>
      <c r="AD83" s="2" t="s">
        <v>317</v>
      </c>
    </row>
    <row r="84" spans="1:30" x14ac:dyDescent="0.3">
      <c r="A84" s="2" t="s">
        <v>195</v>
      </c>
      <c r="B84" s="2" t="s">
        <v>170</v>
      </c>
      <c r="C84" s="2" t="s">
        <v>317</v>
      </c>
      <c r="D84" s="2" t="s">
        <v>317</v>
      </c>
      <c r="E84" s="2" t="s">
        <v>317</v>
      </c>
      <c r="F84" s="2" t="s">
        <v>317</v>
      </c>
      <c r="G84" s="2" t="s">
        <v>317</v>
      </c>
      <c r="H84" s="2" t="s">
        <v>317</v>
      </c>
      <c r="I84" s="2" t="s">
        <v>317</v>
      </c>
      <c r="J84" s="2" t="s">
        <v>320</v>
      </c>
      <c r="K84" s="2" t="s">
        <v>317</v>
      </c>
      <c r="L84" s="2" t="s">
        <v>317</v>
      </c>
      <c r="M84" s="2" t="s">
        <v>317</v>
      </c>
      <c r="N84" s="2" t="s">
        <v>317</v>
      </c>
      <c r="O84" s="2" t="s">
        <v>317</v>
      </c>
      <c r="P84" s="2" t="s">
        <v>317</v>
      </c>
      <c r="Q84" s="2" t="s">
        <v>317</v>
      </c>
      <c r="R84" s="2" t="s">
        <v>317</v>
      </c>
      <c r="S84" s="2" t="s">
        <v>317</v>
      </c>
      <c r="T84" s="2" t="s">
        <v>320</v>
      </c>
      <c r="U84" s="2" t="s">
        <v>317</v>
      </c>
      <c r="V84" s="2" t="s">
        <v>317</v>
      </c>
      <c r="W84" s="2" t="s">
        <v>317</v>
      </c>
      <c r="X84" s="2" t="s">
        <v>317</v>
      </c>
      <c r="Y84" s="2" t="s">
        <v>317</v>
      </c>
      <c r="Z84" s="2" t="s">
        <v>318</v>
      </c>
      <c r="AA84" s="2" t="s">
        <v>318</v>
      </c>
      <c r="AB84" s="2" t="s">
        <v>317</v>
      </c>
      <c r="AC84" s="2" t="s">
        <v>317</v>
      </c>
      <c r="AD84" s="2" t="s">
        <v>317</v>
      </c>
    </row>
    <row r="85" spans="1:30" x14ac:dyDescent="0.3">
      <c r="A85" s="2" t="s">
        <v>196</v>
      </c>
      <c r="B85" s="2" t="s">
        <v>197</v>
      </c>
      <c r="C85" s="2" t="s">
        <v>317</v>
      </c>
      <c r="D85" s="2" t="s">
        <v>317</v>
      </c>
      <c r="E85" s="2" t="s">
        <v>317</v>
      </c>
      <c r="F85" s="2" t="s">
        <v>317</v>
      </c>
      <c r="G85" s="2" t="s">
        <v>317</v>
      </c>
      <c r="H85" s="2" t="s">
        <v>317</v>
      </c>
      <c r="I85" s="2" t="s">
        <v>317</v>
      </c>
      <c r="J85" s="2" t="s">
        <v>317</v>
      </c>
      <c r="K85" s="2" t="s">
        <v>317</v>
      </c>
      <c r="L85" s="2" t="s">
        <v>317</v>
      </c>
      <c r="M85" s="2" t="s">
        <v>317</v>
      </c>
      <c r="N85" s="2" t="s">
        <v>317</v>
      </c>
      <c r="O85" s="2" t="s">
        <v>317</v>
      </c>
      <c r="P85" s="2" t="s">
        <v>317</v>
      </c>
      <c r="Q85" s="2" t="s">
        <v>317</v>
      </c>
      <c r="R85" s="2" t="s">
        <v>317</v>
      </c>
      <c r="S85" s="2" t="s">
        <v>319</v>
      </c>
      <c r="T85" s="2" t="s">
        <v>317</v>
      </c>
      <c r="U85" s="2" t="s">
        <v>317</v>
      </c>
      <c r="V85" s="2" t="s">
        <v>317</v>
      </c>
      <c r="W85" s="2" t="s">
        <v>317</v>
      </c>
      <c r="X85" s="2" t="s">
        <v>317</v>
      </c>
      <c r="Y85" s="2" t="s">
        <v>317</v>
      </c>
      <c r="Z85" s="2" t="s">
        <v>317</v>
      </c>
      <c r="AA85" s="2" t="s">
        <v>317</v>
      </c>
      <c r="AB85" s="2" t="s">
        <v>317</v>
      </c>
      <c r="AC85" s="2" t="s">
        <v>317</v>
      </c>
      <c r="AD85" s="2" t="s">
        <v>317</v>
      </c>
    </row>
    <row r="86" spans="1:30" x14ac:dyDescent="0.3">
      <c r="A86" s="2" t="s">
        <v>198</v>
      </c>
      <c r="B86" s="2" t="s">
        <v>176</v>
      </c>
      <c r="C86" s="2" t="s">
        <v>319</v>
      </c>
      <c r="D86" s="2" t="s">
        <v>317</v>
      </c>
      <c r="E86" s="2" t="s">
        <v>317</v>
      </c>
      <c r="F86" s="2" t="s">
        <v>318</v>
      </c>
      <c r="G86" s="2" t="s">
        <v>317</v>
      </c>
      <c r="H86" s="2" t="s">
        <v>317</v>
      </c>
      <c r="I86" s="2" t="s">
        <v>317</v>
      </c>
      <c r="J86" s="2" t="s">
        <v>319</v>
      </c>
      <c r="K86" s="2" t="s">
        <v>317</v>
      </c>
      <c r="L86" s="2" t="s">
        <v>317</v>
      </c>
      <c r="M86" s="2" t="s">
        <v>317</v>
      </c>
      <c r="N86" s="2" t="s">
        <v>317</v>
      </c>
      <c r="O86" s="2" t="s">
        <v>317</v>
      </c>
      <c r="P86" s="2" t="s">
        <v>317</v>
      </c>
      <c r="Q86" s="2" t="s">
        <v>317</v>
      </c>
      <c r="R86" s="2" t="s">
        <v>317</v>
      </c>
      <c r="S86" s="2" t="s">
        <v>317</v>
      </c>
      <c r="T86" s="2" t="s">
        <v>317</v>
      </c>
      <c r="U86" s="2" t="s">
        <v>317</v>
      </c>
      <c r="V86" s="2" t="s">
        <v>317</v>
      </c>
      <c r="W86" s="2" t="s">
        <v>317</v>
      </c>
      <c r="X86" s="2" t="s">
        <v>317</v>
      </c>
      <c r="Y86" s="2" t="s">
        <v>317</v>
      </c>
      <c r="Z86" s="2" t="s">
        <v>317</v>
      </c>
      <c r="AA86" s="2" t="s">
        <v>317</v>
      </c>
      <c r="AB86" s="2" t="s">
        <v>318</v>
      </c>
      <c r="AC86" s="2" t="s">
        <v>317</v>
      </c>
      <c r="AD86" s="2" t="s">
        <v>317</v>
      </c>
    </row>
    <row r="87" spans="1:30" x14ac:dyDescent="0.3">
      <c r="A87" s="2" t="s">
        <v>199</v>
      </c>
      <c r="B87" s="2" t="s">
        <v>47</v>
      </c>
      <c r="C87" s="2" t="s">
        <v>317</v>
      </c>
      <c r="D87" s="2" t="s">
        <v>320</v>
      </c>
      <c r="E87" s="2" t="s">
        <v>317</v>
      </c>
      <c r="F87" s="2" t="s">
        <v>317</v>
      </c>
      <c r="G87" s="2" t="s">
        <v>317</v>
      </c>
      <c r="H87" s="2" t="s">
        <v>318</v>
      </c>
      <c r="I87" s="2" t="s">
        <v>320</v>
      </c>
      <c r="J87" s="2" t="s">
        <v>317</v>
      </c>
      <c r="K87" s="2" t="s">
        <v>317</v>
      </c>
      <c r="L87" s="2" t="s">
        <v>317</v>
      </c>
      <c r="M87" s="2" t="s">
        <v>318</v>
      </c>
      <c r="N87" s="2" t="s">
        <v>317</v>
      </c>
      <c r="O87" s="2" t="s">
        <v>317</v>
      </c>
      <c r="P87" s="2" t="s">
        <v>317</v>
      </c>
      <c r="Q87" s="2" t="s">
        <v>317</v>
      </c>
      <c r="R87" s="2" t="s">
        <v>317</v>
      </c>
      <c r="S87" s="2" t="s">
        <v>317</v>
      </c>
      <c r="T87" s="2" t="s">
        <v>317</v>
      </c>
      <c r="U87" s="2" t="s">
        <v>317</v>
      </c>
      <c r="V87" s="2" t="s">
        <v>317</v>
      </c>
      <c r="W87" s="2" t="s">
        <v>317</v>
      </c>
      <c r="X87" s="2" t="s">
        <v>317</v>
      </c>
      <c r="Y87" s="2" t="s">
        <v>318</v>
      </c>
      <c r="Z87" s="2" t="s">
        <v>317</v>
      </c>
      <c r="AA87" s="2" t="s">
        <v>317</v>
      </c>
      <c r="AB87" s="2" t="s">
        <v>317</v>
      </c>
      <c r="AC87" s="2" t="s">
        <v>317</v>
      </c>
      <c r="AD87" s="2" t="s">
        <v>317</v>
      </c>
    </row>
    <row r="88" spans="1:30" x14ac:dyDescent="0.3">
      <c r="A88" s="2" t="s">
        <v>200</v>
      </c>
      <c r="B88" s="2" t="s">
        <v>201</v>
      </c>
      <c r="C88" s="2" t="s">
        <v>317</v>
      </c>
      <c r="D88" s="2" t="s">
        <v>320</v>
      </c>
      <c r="E88" s="2" t="s">
        <v>317</v>
      </c>
      <c r="F88" s="2" t="s">
        <v>317</v>
      </c>
      <c r="G88" s="2" t="s">
        <v>317</v>
      </c>
      <c r="H88" s="2" t="s">
        <v>317</v>
      </c>
      <c r="I88" s="2" t="s">
        <v>317</v>
      </c>
      <c r="J88" s="2" t="s">
        <v>320</v>
      </c>
      <c r="K88" s="2" t="s">
        <v>318</v>
      </c>
      <c r="L88" s="2" t="s">
        <v>317</v>
      </c>
      <c r="M88" s="2" t="s">
        <v>317</v>
      </c>
      <c r="N88" s="2" t="s">
        <v>317</v>
      </c>
      <c r="O88" s="2" t="s">
        <v>317</v>
      </c>
      <c r="P88" s="2" t="s">
        <v>317</v>
      </c>
      <c r="Q88" s="2" t="s">
        <v>317</v>
      </c>
      <c r="R88" s="2" t="s">
        <v>317</v>
      </c>
      <c r="S88" s="2" t="s">
        <v>317</v>
      </c>
      <c r="T88" s="2" t="s">
        <v>320</v>
      </c>
      <c r="U88" s="2" t="s">
        <v>317</v>
      </c>
      <c r="V88" s="2" t="s">
        <v>317</v>
      </c>
      <c r="W88" s="2" t="s">
        <v>317</v>
      </c>
      <c r="X88" s="2" t="s">
        <v>317</v>
      </c>
      <c r="Y88" s="2" t="s">
        <v>317</v>
      </c>
      <c r="Z88" s="2" t="s">
        <v>317</v>
      </c>
      <c r="AA88" s="2" t="s">
        <v>317</v>
      </c>
      <c r="AB88" s="2" t="s">
        <v>319</v>
      </c>
      <c r="AC88" s="2" t="s">
        <v>317</v>
      </c>
      <c r="AD88" s="2" t="s">
        <v>317</v>
      </c>
    </row>
    <row r="89" spans="1:30" x14ac:dyDescent="0.3">
      <c r="A89" s="2" t="s">
        <v>202</v>
      </c>
      <c r="B89" s="2" t="s">
        <v>203</v>
      </c>
      <c r="C89" s="2" t="s">
        <v>317</v>
      </c>
      <c r="D89" s="2" t="s">
        <v>317</v>
      </c>
      <c r="E89" s="2" t="s">
        <v>317</v>
      </c>
      <c r="F89" s="2" t="s">
        <v>317</v>
      </c>
      <c r="G89" s="2" t="s">
        <v>317</v>
      </c>
      <c r="H89" s="2" t="s">
        <v>318</v>
      </c>
      <c r="I89" s="2" t="s">
        <v>317</v>
      </c>
      <c r="J89" s="2" t="s">
        <v>317</v>
      </c>
      <c r="K89" s="2" t="s">
        <v>318</v>
      </c>
      <c r="L89" s="2" t="s">
        <v>317</v>
      </c>
      <c r="M89" s="2" t="s">
        <v>317</v>
      </c>
      <c r="N89" s="2" t="s">
        <v>317</v>
      </c>
      <c r="O89" s="2" t="s">
        <v>317</v>
      </c>
      <c r="P89" s="2" t="s">
        <v>317</v>
      </c>
      <c r="Q89" s="2" t="s">
        <v>317</v>
      </c>
      <c r="R89" s="2" t="s">
        <v>317</v>
      </c>
      <c r="S89" s="2" t="s">
        <v>317</v>
      </c>
      <c r="T89" s="2" t="s">
        <v>317</v>
      </c>
      <c r="U89" s="2" t="s">
        <v>317</v>
      </c>
      <c r="V89" s="2" t="s">
        <v>317</v>
      </c>
      <c r="W89" s="2" t="s">
        <v>317</v>
      </c>
      <c r="X89" s="2" t="s">
        <v>317</v>
      </c>
      <c r="Y89" s="2" t="s">
        <v>317</v>
      </c>
      <c r="Z89" s="2" t="s">
        <v>317</v>
      </c>
      <c r="AA89" s="2" t="s">
        <v>317</v>
      </c>
      <c r="AB89" s="2" t="s">
        <v>317</v>
      </c>
      <c r="AC89" s="2" t="s">
        <v>317</v>
      </c>
      <c r="AD89" s="2" t="s">
        <v>317</v>
      </c>
    </row>
    <row r="90" spans="1:30" x14ac:dyDescent="0.3">
      <c r="A90" s="2" t="s">
        <v>204</v>
      </c>
      <c r="B90" s="2" t="s">
        <v>205</v>
      </c>
      <c r="C90" s="2" t="s">
        <v>317</v>
      </c>
      <c r="D90" s="2" t="s">
        <v>317</v>
      </c>
      <c r="E90" s="2" t="s">
        <v>317</v>
      </c>
      <c r="F90" s="2" t="s">
        <v>317</v>
      </c>
      <c r="G90" s="2" t="s">
        <v>317</v>
      </c>
      <c r="H90" s="2" t="s">
        <v>317</v>
      </c>
      <c r="I90" s="2" t="s">
        <v>317</v>
      </c>
      <c r="J90" s="2" t="s">
        <v>317</v>
      </c>
      <c r="K90" s="2" t="s">
        <v>317</v>
      </c>
      <c r="L90" s="2" t="s">
        <v>320</v>
      </c>
      <c r="M90" s="2" t="s">
        <v>317</v>
      </c>
      <c r="N90" s="2" t="s">
        <v>317</v>
      </c>
      <c r="O90" s="2" t="s">
        <v>317</v>
      </c>
      <c r="P90" s="2" t="s">
        <v>317</v>
      </c>
      <c r="Q90" s="2" t="s">
        <v>317</v>
      </c>
      <c r="R90" s="2" t="s">
        <v>317</v>
      </c>
      <c r="S90" s="2" t="s">
        <v>317</v>
      </c>
      <c r="T90" s="2" t="s">
        <v>317</v>
      </c>
      <c r="U90" s="2" t="s">
        <v>317</v>
      </c>
      <c r="V90" s="2" t="s">
        <v>317</v>
      </c>
      <c r="W90" s="2" t="s">
        <v>317</v>
      </c>
      <c r="X90" s="2" t="s">
        <v>317</v>
      </c>
      <c r="Y90" s="2" t="s">
        <v>317</v>
      </c>
      <c r="Z90" s="2" t="s">
        <v>317</v>
      </c>
      <c r="AA90" s="2" t="s">
        <v>317</v>
      </c>
      <c r="AB90" s="2" t="s">
        <v>317</v>
      </c>
      <c r="AC90" s="2" t="s">
        <v>317</v>
      </c>
      <c r="AD90" s="2" t="s">
        <v>317</v>
      </c>
    </row>
    <row r="91" spans="1:30" x14ac:dyDescent="0.3">
      <c r="A91" s="2" t="s">
        <v>206</v>
      </c>
      <c r="B91" s="2" t="s">
        <v>207</v>
      </c>
      <c r="C91" s="2" t="s">
        <v>317</v>
      </c>
      <c r="D91" s="2" t="s">
        <v>317</v>
      </c>
      <c r="E91" s="2" t="s">
        <v>317</v>
      </c>
      <c r="F91" s="2" t="s">
        <v>317</v>
      </c>
      <c r="G91" s="2" t="s">
        <v>317</v>
      </c>
      <c r="H91" s="2" t="s">
        <v>317</v>
      </c>
      <c r="I91" s="2" t="s">
        <v>317</v>
      </c>
      <c r="J91" s="2" t="s">
        <v>317</v>
      </c>
      <c r="K91" s="2" t="s">
        <v>317</v>
      </c>
      <c r="L91" s="2" t="s">
        <v>317</v>
      </c>
      <c r="M91" s="2" t="s">
        <v>317</v>
      </c>
      <c r="N91" s="2" t="s">
        <v>317</v>
      </c>
      <c r="O91" s="2" t="s">
        <v>317</v>
      </c>
      <c r="P91" s="2" t="s">
        <v>317</v>
      </c>
      <c r="Q91" s="2" t="s">
        <v>319</v>
      </c>
      <c r="R91" s="2" t="s">
        <v>317</v>
      </c>
      <c r="S91" s="2" t="s">
        <v>318</v>
      </c>
      <c r="T91" s="2" t="s">
        <v>317</v>
      </c>
      <c r="U91" s="2" t="s">
        <v>317</v>
      </c>
      <c r="V91" s="2" t="s">
        <v>317</v>
      </c>
      <c r="W91" s="2" t="s">
        <v>319</v>
      </c>
      <c r="X91" s="2" t="s">
        <v>317</v>
      </c>
      <c r="Y91" s="2" t="s">
        <v>317</v>
      </c>
      <c r="Z91" s="2" t="s">
        <v>317</v>
      </c>
      <c r="AA91" s="2" t="s">
        <v>317</v>
      </c>
      <c r="AB91" s="2" t="s">
        <v>317</v>
      </c>
      <c r="AC91" s="2" t="s">
        <v>320</v>
      </c>
      <c r="AD91" s="2" t="s">
        <v>317</v>
      </c>
    </row>
    <row r="92" spans="1:30" x14ac:dyDescent="0.3">
      <c r="A92" s="2" t="s">
        <v>208</v>
      </c>
      <c r="B92" s="2" t="s">
        <v>209</v>
      </c>
      <c r="C92" s="2" t="s">
        <v>317</v>
      </c>
      <c r="D92" s="2" t="s">
        <v>317</v>
      </c>
      <c r="E92" s="2" t="s">
        <v>317</v>
      </c>
      <c r="F92" s="2" t="s">
        <v>318</v>
      </c>
      <c r="G92" s="2" t="s">
        <v>317</v>
      </c>
      <c r="H92" s="2" t="s">
        <v>317</v>
      </c>
      <c r="I92" s="2" t="s">
        <v>317</v>
      </c>
      <c r="J92" s="2" t="s">
        <v>317</v>
      </c>
      <c r="K92" s="2" t="s">
        <v>317</v>
      </c>
      <c r="L92" s="2" t="s">
        <v>317</v>
      </c>
      <c r="M92" s="2" t="s">
        <v>317</v>
      </c>
      <c r="N92" s="2" t="s">
        <v>317</v>
      </c>
      <c r="O92" s="2" t="s">
        <v>317</v>
      </c>
      <c r="P92" s="2" t="s">
        <v>317</v>
      </c>
      <c r="Q92" s="2" t="s">
        <v>317</v>
      </c>
      <c r="R92" s="2" t="s">
        <v>317</v>
      </c>
      <c r="S92" s="2" t="s">
        <v>318</v>
      </c>
      <c r="T92" s="2" t="s">
        <v>317</v>
      </c>
      <c r="U92" s="2" t="s">
        <v>319</v>
      </c>
      <c r="V92" s="2" t="s">
        <v>317</v>
      </c>
      <c r="W92" s="2" t="s">
        <v>317</v>
      </c>
      <c r="X92" s="2" t="s">
        <v>317</v>
      </c>
      <c r="Y92" s="2" t="s">
        <v>317</v>
      </c>
      <c r="Z92" s="2" t="s">
        <v>318</v>
      </c>
      <c r="AA92" s="2" t="s">
        <v>317</v>
      </c>
      <c r="AB92" s="2" t="s">
        <v>317</v>
      </c>
      <c r="AC92" s="2" t="s">
        <v>319</v>
      </c>
      <c r="AD92" s="2" t="s">
        <v>317</v>
      </c>
    </row>
    <row r="93" spans="1:30" x14ac:dyDescent="0.3">
      <c r="A93" s="2" t="s">
        <v>210</v>
      </c>
      <c r="B93" s="2" t="s">
        <v>90</v>
      </c>
      <c r="C93" s="2" t="s">
        <v>317</v>
      </c>
      <c r="D93" s="2" t="s">
        <v>317</v>
      </c>
      <c r="E93" s="2" t="s">
        <v>317</v>
      </c>
      <c r="F93" s="2" t="s">
        <v>317</v>
      </c>
      <c r="G93" s="2" t="s">
        <v>317</v>
      </c>
      <c r="H93" s="2" t="s">
        <v>317</v>
      </c>
      <c r="I93" s="2" t="s">
        <v>317</v>
      </c>
      <c r="J93" s="2" t="s">
        <v>317</v>
      </c>
      <c r="K93" s="2" t="s">
        <v>317</v>
      </c>
      <c r="L93" s="2" t="s">
        <v>317</v>
      </c>
      <c r="M93" s="2" t="s">
        <v>317</v>
      </c>
      <c r="N93" s="2" t="s">
        <v>317</v>
      </c>
      <c r="O93" s="2" t="s">
        <v>318</v>
      </c>
      <c r="P93" s="2" t="s">
        <v>317</v>
      </c>
      <c r="Q93" s="2" t="s">
        <v>320</v>
      </c>
      <c r="R93" s="2" t="s">
        <v>317</v>
      </c>
      <c r="S93" s="2" t="s">
        <v>317</v>
      </c>
      <c r="T93" s="2" t="s">
        <v>319</v>
      </c>
      <c r="U93" s="2" t="s">
        <v>317</v>
      </c>
      <c r="V93" s="2" t="s">
        <v>317</v>
      </c>
      <c r="W93" s="2" t="s">
        <v>318</v>
      </c>
      <c r="X93" s="2" t="s">
        <v>317</v>
      </c>
      <c r="Y93" s="2" t="s">
        <v>317</v>
      </c>
      <c r="Z93" s="2" t="s">
        <v>317</v>
      </c>
      <c r="AA93" s="2" t="s">
        <v>319</v>
      </c>
      <c r="AB93" s="2" t="s">
        <v>318</v>
      </c>
      <c r="AC93" s="2" t="s">
        <v>318</v>
      </c>
      <c r="AD93" s="2" t="s">
        <v>317</v>
      </c>
    </row>
    <row r="94" spans="1:30" x14ac:dyDescent="0.3">
      <c r="A94" s="2" t="s">
        <v>211</v>
      </c>
      <c r="B94" s="2" t="s">
        <v>212</v>
      </c>
      <c r="C94" s="2" t="s">
        <v>317</v>
      </c>
      <c r="D94" s="2" t="s">
        <v>317</v>
      </c>
      <c r="E94" s="2" t="s">
        <v>319</v>
      </c>
      <c r="F94" s="2" t="s">
        <v>317</v>
      </c>
      <c r="G94" s="2" t="s">
        <v>317</v>
      </c>
      <c r="H94" s="2" t="s">
        <v>317</v>
      </c>
      <c r="I94" s="2" t="s">
        <v>317</v>
      </c>
      <c r="J94" s="2" t="s">
        <v>317</v>
      </c>
      <c r="K94" s="2" t="s">
        <v>317</v>
      </c>
      <c r="L94" s="2" t="s">
        <v>317</v>
      </c>
      <c r="M94" s="2" t="s">
        <v>317</v>
      </c>
      <c r="N94" s="2" t="s">
        <v>317</v>
      </c>
      <c r="O94" s="2" t="s">
        <v>317</v>
      </c>
      <c r="P94" s="2" t="s">
        <v>317</v>
      </c>
      <c r="Q94" s="2" t="s">
        <v>319</v>
      </c>
      <c r="R94" s="2" t="s">
        <v>317</v>
      </c>
      <c r="S94" s="2" t="s">
        <v>317</v>
      </c>
      <c r="T94" s="2" t="s">
        <v>317</v>
      </c>
      <c r="U94" s="2" t="s">
        <v>320</v>
      </c>
      <c r="V94" s="2" t="s">
        <v>317</v>
      </c>
      <c r="W94" s="2" t="s">
        <v>317</v>
      </c>
      <c r="X94" s="2" t="s">
        <v>317</v>
      </c>
      <c r="Y94" s="2" t="s">
        <v>317</v>
      </c>
      <c r="Z94" s="2" t="s">
        <v>317</v>
      </c>
      <c r="AA94" s="2" t="s">
        <v>317</v>
      </c>
      <c r="AB94" s="2" t="s">
        <v>317</v>
      </c>
      <c r="AC94" s="2" t="s">
        <v>317</v>
      </c>
      <c r="AD94" s="2" t="s">
        <v>317</v>
      </c>
    </row>
    <row r="95" spans="1:30" x14ac:dyDescent="0.3">
      <c r="A95" s="2" t="s">
        <v>213</v>
      </c>
      <c r="B95" s="2" t="s">
        <v>214</v>
      </c>
      <c r="C95" s="2" t="s">
        <v>317</v>
      </c>
      <c r="D95" s="2" t="s">
        <v>317</v>
      </c>
      <c r="E95" s="2" t="s">
        <v>317</v>
      </c>
      <c r="F95" s="2" t="s">
        <v>317</v>
      </c>
      <c r="G95" s="2" t="s">
        <v>317</v>
      </c>
      <c r="H95" s="2" t="s">
        <v>317</v>
      </c>
      <c r="I95" s="2" t="s">
        <v>317</v>
      </c>
      <c r="J95" s="2" t="s">
        <v>317</v>
      </c>
      <c r="K95" s="2" t="s">
        <v>317</v>
      </c>
      <c r="L95" s="2" t="s">
        <v>317</v>
      </c>
      <c r="M95" s="2" t="s">
        <v>320</v>
      </c>
      <c r="N95" s="2" t="s">
        <v>319</v>
      </c>
      <c r="O95" s="2" t="s">
        <v>317</v>
      </c>
      <c r="P95" s="2" t="s">
        <v>317</v>
      </c>
      <c r="Q95" s="2" t="s">
        <v>317</v>
      </c>
      <c r="R95" s="2" t="s">
        <v>317</v>
      </c>
      <c r="S95" s="2" t="s">
        <v>317</v>
      </c>
      <c r="T95" s="2" t="s">
        <v>317</v>
      </c>
      <c r="U95" s="2" t="s">
        <v>317</v>
      </c>
      <c r="V95" s="2" t="s">
        <v>317</v>
      </c>
      <c r="W95" s="2" t="s">
        <v>317</v>
      </c>
      <c r="X95" s="2" t="s">
        <v>319</v>
      </c>
      <c r="Y95" s="2" t="s">
        <v>317</v>
      </c>
      <c r="Z95" s="2" t="s">
        <v>317</v>
      </c>
      <c r="AA95" s="2" t="s">
        <v>320</v>
      </c>
      <c r="AB95" s="2" t="s">
        <v>317</v>
      </c>
      <c r="AC95" s="2" t="s">
        <v>317</v>
      </c>
      <c r="AD95" s="2" t="s">
        <v>317</v>
      </c>
    </row>
    <row r="96" spans="1:30" x14ac:dyDescent="0.3">
      <c r="A96" s="2" t="s">
        <v>215</v>
      </c>
      <c r="B96" s="2" t="s">
        <v>216</v>
      </c>
      <c r="C96" s="2" t="s">
        <v>317</v>
      </c>
      <c r="D96" s="2" t="s">
        <v>317</v>
      </c>
      <c r="E96" s="2" t="s">
        <v>317</v>
      </c>
      <c r="F96" s="2" t="s">
        <v>317</v>
      </c>
      <c r="G96" s="2" t="s">
        <v>317</v>
      </c>
      <c r="H96" s="2" t="s">
        <v>317</v>
      </c>
      <c r="I96" s="2" t="s">
        <v>317</v>
      </c>
      <c r="J96" s="2" t="s">
        <v>317</v>
      </c>
      <c r="K96" s="2" t="s">
        <v>317</v>
      </c>
      <c r="L96" s="2" t="s">
        <v>317</v>
      </c>
      <c r="M96" s="2" t="s">
        <v>317</v>
      </c>
      <c r="N96" s="2" t="s">
        <v>317</v>
      </c>
      <c r="O96" s="2" t="s">
        <v>317</v>
      </c>
      <c r="P96" s="2" t="s">
        <v>317</v>
      </c>
      <c r="Q96" s="2" t="s">
        <v>317</v>
      </c>
      <c r="R96" s="2" t="s">
        <v>317</v>
      </c>
      <c r="S96" s="2" t="s">
        <v>320</v>
      </c>
      <c r="T96" s="2" t="s">
        <v>317</v>
      </c>
      <c r="U96" s="2" t="s">
        <v>317</v>
      </c>
      <c r="V96" s="2" t="s">
        <v>317</v>
      </c>
      <c r="W96" s="2" t="s">
        <v>320</v>
      </c>
      <c r="X96" s="2" t="s">
        <v>317</v>
      </c>
      <c r="Y96" s="2" t="s">
        <v>317</v>
      </c>
      <c r="Z96" s="2" t="s">
        <v>317</v>
      </c>
      <c r="AA96" s="2" t="s">
        <v>317</v>
      </c>
      <c r="AB96" s="2" t="s">
        <v>317</v>
      </c>
      <c r="AC96" s="2" t="s">
        <v>317</v>
      </c>
      <c r="AD96" s="2" t="s">
        <v>317</v>
      </c>
    </row>
    <row r="97" spans="1:30" x14ac:dyDescent="0.3">
      <c r="A97" s="2" t="s">
        <v>217</v>
      </c>
      <c r="B97" s="2" t="s">
        <v>55</v>
      </c>
      <c r="C97" s="2" t="s">
        <v>317</v>
      </c>
      <c r="D97" s="2" t="s">
        <v>317</v>
      </c>
      <c r="E97" s="2" t="s">
        <v>320</v>
      </c>
      <c r="F97" s="2" t="s">
        <v>317</v>
      </c>
      <c r="G97" s="2" t="s">
        <v>317</v>
      </c>
      <c r="H97" s="2" t="s">
        <v>317</v>
      </c>
      <c r="I97" s="2" t="s">
        <v>318</v>
      </c>
      <c r="J97" s="2" t="s">
        <v>317</v>
      </c>
      <c r="K97" s="2" t="s">
        <v>317</v>
      </c>
      <c r="L97" s="2" t="s">
        <v>317</v>
      </c>
      <c r="M97" s="2" t="s">
        <v>317</v>
      </c>
      <c r="N97" s="2" t="s">
        <v>317</v>
      </c>
      <c r="O97" s="2" t="s">
        <v>317</v>
      </c>
      <c r="P97" s="2" t="s">
        <v>320</v>
      </c>
      <c r="Q97" s="2" t="s">
        <v>317</v>
      </c>
      <c r="R97" s="2" t="s">
        <v>317</v>
      </c>
      <c r="S97" s="2" t="s">
        <v>317</v>
      </c>
      <c r="T97" s="2" t="s">
        <v>317</v>
      </c>
      <c r="U97" s="2" t="s">
        <v>317</v>
      </c>
      <c r="V97" s="2" t="s">
        <v>317</v>
      </c>
      <c r="W97" s="2" t="s">
        <v>317</v>
      </c>
      <c r="X97" s="2" t="s">
        <v>317</v>
      </c>
      <c r="Y97" s="2" t="s">
        <v>317</v>
      </c>
      <c r="Z97" s="2" t="s">
        <v>317</v>
      </c>
      <c r="AA97" s="2" t="s">
        <v>317</v>
      </c>
      <c r="AB97" s="2" t="s">
        <v>317</v>
      </c>
      <c r="AC97" s="2" t="s">
        <v>317</v>
      </c>
      <c r="AD97" s="2" t="s">
        <v>317</v>
      </c>
    </row>
    <row r="98" spans="1:30" x14ac:dyDescent="0.3">
      <c r="A98" s="2" t="s">
        <v>218</v>
      </c>
      <c r="B98" s="2" t="s">
        <v>83</v>
      </c>
      <c r="C98" s="2" t="s">
        <v>317</v>
      </c>
      <c r="D98" s="2" t="s">
        <v>317</v>
      </c>
      <c r="E98" s="2" t="s">
        <v>317</v>
      </c>
      <c r="F98" s="2" t="s">
        <v>317</v>
      </c>
      <c r="G98" s="2" t="s">
        <v>317</v>
      </c>
      <c r="H98" s="2" t="s">
        <v>317</v>
      </c>
      <c r="I98" s="2" t="s">
        <v>317</v>
      </c>
      <c r="J98" s="2" t="s">
        <v>317</v>
      </c>
      <c r="K98" s="2" t="s">
        <v>317</v>
      </c>
      <c r="L98" s="2" t="s">
        <v>318</v>
      </c>
      <c r="M98" s="2" t="s">
        <v>317</v>
      </c>
      <c r="N98" s="2" t="s">
        <v>317</v>
      </c>
      <c r="O98" s="2" t="s">
        <v>317</v>
      </c>
      <c r="P98" s="2" t="s">
        <v>317</v>
      </c>
      <c r="Q98" s="2" t="s">
        <v>317</v>
      </c>
      <c r="R98" s="2" t="s">
        <v>317</v>
      </c>
      <c r="S98" s="2" t="s">
        <v>317</v>
      </c>
      <c r="T98" s="2" t="s">
        <v>317</v>
      </c>
      <c r="U98" s="2" t="s">
        <v>317</v>
      </c>
      <c r="V98" s="2" t="s">
        <v>317</v>
      </c>
      <c r="W98" s="2" t="s">
        <v>317</v>
      </c>
      <c r="X98" s="2" t="s">
        <v>317</v>
      </c>
      <c r="Y98" s="2" t="s">
        <v>320</v>
      </c>
      <c r="Z98" s="2" t="s">
        <v>317</v>
      </c>
      <c r="AA98" s="2" t="s">
        <v>317</v>
      </c>
      <c r="AB98" s="2" t="s">
        <v>317</v>
      </c>
      <c r="AC98" s="2" t="s">
        <v>317</v>
      </c>
      <c r="AD98" s="2" t="s">
        <v>317</v>
      </c>
    </row>
    <row r="99" spans="1:30" x14ac:dyDescent="0.3">
      <c r="A99" s="2" t="s">
        <v>219</v>
      </c>
      <c r="B99" s="2" t="s">
        <v>65</v>
      </c>
      <c r="C99" s="2" t="s">
        <v>319</v>
      </c>
      <c r="D99" s="2" t="s">
        <v>320</v>
      </c>
      <c r="E99" s="2" t="s">
        <v>317</v>
      </c>
      <c r="F99" s="2" t="s">
        <v>317</v>
      </c>
      <c r="G99" s="2" t="s">
        <v>317</v>
      </c>
      <c r="H99" s="2" t="s">
        <v>317</v>
      </c>
      <c r="I99" s="2" t="s">
        <v>317</v>
      </c>
      <c r="J99" s="2" t="s">
        <v>317</v>
      </c>
      <c r="K99" s="2" t="s">
        <v>317</v>
      </c>
      <c r="L99" s="2" t="s">
        <v>317</v>
      </c>
      <c r="M99" s="2" t="s">
        <v>317</v>
      </c>
      <c r="N99" s="2" t="s">
        <v>317</v>
      </c>
      <c r="O99" s="2" t="s">
        <v>317</v>
      </c>
      <c r="P99" s="2" t="s">
        <v>318</v>
      </c>
      <c r="Q99" s="2" t="s">
        <v>317</v>
      </c>
      <c r="R99" s="2" t="s">
        <v>317</v>
      </c>
      <c r="S99" s="2" t="s">
        <v>317</v>
      </c>
      <c r="T99" s="2" t="s">
        <v>317</v>
      </c>
      <c r="U99" s="2" t="s">
        <v>317</v>
      </c>
      <c r="V99" s="2" t="s">
        <v>317</v>
      </c>
      <c r="W99" s="2" t="s">
        <v>319</v>
      </c>
      <c r="X99" s="2" t="s">
        <v>317</v>
      </c>
      <c r="Y99" s="2" t="s">
        <v>317</v>
      </c>
      <c r="Z99" s="2" t="s">
        <v>317</v>
      </c>
      <c r="AA99" s="2" t="s">
        <v>317</v>
      </c>
      <c r="AB99" s="2" t="s">
        <v>317</v>
      </c>
      <c r="AC99" s="2" t="s">
        <v>317</v>
      </c>
      <c r="AD99" s="2" t="s">
        <v>317</v>
      </c>
    </row>
    <row r="100" spans="1:30" x14ac:dyDescent="0.3">
      <c r="A100" s="2" t="s">
        <v>220</v>
      </c>
      <c r="B100" s="2" t="s">
        <v>113</v>
      </c>
      <c r="C100" s="2" t="s">
        <v>317</v>
      </c>
      <c r="D100" s="2" t="s">
        <v>317</v>
      </c>
      <c r="E100" s="2" t="s">
        <v>317</v>
      </c>
      <c r="F100" s="2" t="s">
        <v>317</v>
      </c>
      <c r="G100" s="2" t="s">
        <v>317</v>
      </c>
      <c r="H100" s="2" t="s">
        <v>317</v>
      </c>
      <c r="I100" s="2" t="s">
        <v>317</v>
      </c>
      <c r="J100" s="2" t="s">
        <v>317</v>
      </c>
      <c r="K100" s="2" t="s">
        <v>317</v>
      </c>
      <c r="L100" s="2" t="s">
        <v>317</v>
      </c>
      <c r="M100" s="2" t="s">
        <v>317</v>
      </c>
      <c r="N100" s="2" t="s">
        <v>317</v>
      </c>
      <c r="O100" s="2" t="s">
        <v>317</v>
      </c>
      <c r="P100" s="2" t="s">
        <v>319</v>
      </c>
      <c r="Q100" s="2" t="s">
        <v>317</v>
      </c>
      <c r="R100" s="2" t="s">
        <v>317</v>
      </c>
      <c r="S100" s="2" t="s">
        <v>317</v>
      </c>
      <c r="T100" s="2" t="s">
        <v>317</v>
      </c>
      <c r="U100" s="2" t="s">
        <v>317</v>
      </c>
      <c r="V100" s="2" t="s">
        <v>317</v>
      </c>
      <c r="W100" s="2" t="s">
        <v>318</v>
      </c>
      <c r="X100" s="2" t="s">
        <v>320</v>
      </c>
      <c r="Y100" s="2" t="s">
        <v>317</v>
      </c>
      <c r="Z100" s="2" t="s">
        <v>317</v>
      </c>
      <c r="AA100" s="2" t="s">
        <v>317</v>
      </c>
      <c r="AB100" s="2" t="s">
        <v>317</v>
      </c>
      <c r="AC100" s="2" t="s">
        <v>317</v>
      </c>
      <c r="AD100" s="2" t="s">
        <v>317</v>
      </c>
    </row>
    <row r="101" spans="1:30" x14ac:dyDescent="0.3">
      <c r="A101" s="2" t="s">
        <v>221</v>
      </c>
      <c r="B101" s="2" t="s">
        <v>222</v>
      </c>
      <c r="C101" s="2" t="s">
        <v>317</v>
      </c>
      <c r="D101" s="2" t="s">
        <v>317</v>
      </c>
      <c r="E101" s="2" t="s">
        <v>317</v>
      </c>
      <c r="F101" s="2" t="s">
        <v>317</v>
      </c>
      <c r="G101" s="2" t="s">
        <v>317</v>
      </c>
      <c r="H101" s="2" t="s">
        <v>317</v>
      </c>
      <c r="I101" s="2" t="s">
        <v>317</v>
      </c>
      <c r="J101" s="2" t="s">
        <v>317</v>
      </c>
      <c r="K101" s="2" t="s">
        <v>317</v>
      </c>
      <c r="L101" s="2" t="s">
        <v>317</v>
      </c>
      <c r="M101" s="2" t="s">
        <v>317</v>
      </c>
      <c r="N101" s="2" t="s">
        <v>317</v>
      </c>
      <c r="O101" s="2" t="s">
        <v>317</v>
      </c>
      <c r="P101" s="2" t="s">
        <v>317</v>
      </c>
      <c r="Q101" s="2" t="s">
        <v>317</v>
      </c>
      <c r="R101" s="2" t="s">
        <v>317</v>
      </c>
      <c r="S101" s="2" t="s">
        <v>319</v>
      </c>
      <c r="T101" s="2" t="s">
        <v>317</v>
      </c>
      <c r="U101" s="2" t="s">
        <v>318</v>
      </c>
      <c r="V101" s="2" t="s">
        <v>317</v>
      </c>
      <c r="W101" s="2" t="s">
        <v>317</v>
      </c>
      <c r="X101" s="2" t="s">
        <v>317</v>
      </c>
      <c r="Y101" s="2" t="s">
        <v>317</v>
      </c>
      <c r="Z101" s="2" t="s">
        <v>317</v>
      </c>
      <c r="AA101" s="2" t="s">
        <v>317</v>
      </c>
      <c r="AB101" s="2" t="s">
        <v>317</v>
      </c>
      <c r="AC101" s="2" t="s">
        <v>317</v>
      </c>
      <c r="AD101" s="2" t="s">
        <v>317</v>
      </c>
    </row>
    <row r="102" spans="1:30" x14ac:dyDescent="0.3">
      <c r="A102" s="2" t="s">
        <v>223</v>
      </c>
      <c r="B102" s="2" t="s">
        <v>224</v>
      </c>
      <c r="C102" s="2" t="s">
        <v>317</v>
      </c>
      <c r="D102" s="2" t="s">
        <v>317</v>
      </c>
      <c r="E102" s="2" t="s">
        <v>317</v>
      </c>
      <c r="F102" s="2" t="s">
        <v>317</v>
      </c>
      <c r="G102" s="2" t="s">
        <v>317</v>
      </c>
      <c r="H102" s="2" t="s">
        <v>320</v>
      </c>
      <c r="I102" s="2" t="s">
        <v>319</v>
      </c>
      <c r="J102" s="2" t="s">
        <v>318</v>
      </c>
      <c r="K102" s="2" t="s">
        <v>320</v>
      </c>
      <c r="L102" s="2" t="s">
        <v>317</v>
      </c>
      <c r="M102" s="2" t="s">
        <v>317</v>
      </c>
      <c r="N102" s="2" t="s">
        <v>317</v>
      </c>
      <c r="O102" s="2" t="s">
        <v>317</v>
      </c>
      <c r="P102" s="2" t="s">
        <v>317</v>
      </c>
      <c r="Q102" s="2" t="s">
        <v>317</v>
      </c>
      <c r="R102" s="2" t="s">
        <v>318</v>
      </c>
      <c r="S102" s="2" t="s">
        <v>317</v>
      </c>
      <c r="T102" s="2" t="s">
        <v>317</v>
      </c>
      <c r="U102" s="2" t="s">
        <v>317</v>
      </c>
      <c r="V102" s="2" t="s">
        <v>317</v>
      </c>
      <c r="W102" s="2" t="s">
        <v>317</v>
      </c>
      <c r="X102" s="2" t="s">
        <v>317</v>
      </c>
      <c r="Y102" s="2" t="s">
        <v>317</v>
      </c>
      <c r="Z102" s="2" t="s">
        <v>317</v>
      </c>
      <c r="AA102" s="2" t="s">
        <v>317</v>
      </c>
      <c r="AB102" s="2" t="s">
        <v>317</v>
      </c>
      <c r="AC102" s="2" t="s">
        <v>317</v>
      </c>
      <c r="AD102" s="2" t="s">
        <v>319</v>
      </c>
    </row>
    <row r="103" spans="1:30" x14ac:dyDescent="0.3">
      <c r="A103" s="2" t="s">
        <v>225</v>
      </c>
      <c r="B103" s="2" t="s">
        <v>226</v>
      </c>
      <c r="C103" s="2" t="s">
        <v>319</v>
      </c>
      <c r="D103" s="2" t="s">
        <v>317</v>
      </c>
      <c r="E103" s="2" t="s">
        <v>317</v>
      </c>
      <c r="F103" s="2" t="s">
        <v>317</v>
      </c>
      <c r="G103" s="2" t="s">
        <v>317</v>
      </c>
      <c r="H103" s="2" t="s">
        <v>317</v>
      </c>
      <c r="I103" s="2" t="s">
        <v>317</v>
      </c>
      <c r="J103" s="2" t="s">
        <v>317</v>
      </c>
      <c r="K103" s="2" t="s">
        <v>317</v>
      </c>
      <c r="L103" s="2" t="s">
        <v>317</v>
      </c>
      <c r="M103" s="2" t="s">
        <v>317</v>
      </c>
      <c r="N103" s="2" t="s">
        <v>317</v>
      </c>
      <c r="O103" s="2" t="s">
        <v>317</v>
      </c>
      <c r="P103" s="2" t="s">
        <v>317</v>
      </c>
      <c r="Q103" s="2" t="s">
        <v>317</v>
      </c>
      <c r="R103" s="2" t="s">
        <v>317</v>
      </c>
      <c r="S103" s="2" t="s">
        <v>317</v>
      </c>
      <c r="T103" s="2" t="s">
        <v>317</v>
      </c>
      <c r="U103" s="2" t="s">
        <v>317</v>
      </c>
      <c r="V103" s="2" t="s">
        <v>317</v>
      </c>
      <c r="W103" s="2" t="s">
        <v>317</v>
      </c>
      <c r="X103" s="2" t="s">
        <v>317</v>
      </c>
      <c r="Y103" s="2" t="s">
        <v>317</v>
      </c>
      <c r="Z103" s="2" t="s">
        <v>319</v>
      </c>
      <c r="AA103" s="2" t="s">
        <v>317</v>
      </c>
      <c r="AB103" s="2" t="s">
        <v>317</v>
      </c>
      <c r="AC103" s="2" t="s">
        <v>317</v>
      </c>
      <c r="AD103" s="2" t="s">
        <v>317</v>
      </c>
    </row>
    <row r="104" spans="1:30" x14ac:dyDescent="0.3">
      <c r="A104" s="2" t="s">
        <v>227</v>
      </c>
      <c r="B104" s="2" t="s">
        <v>228</v>
      </c>
      <c r="C104" s="2" t="s">
        <v>317</v>
      </c>
      <c r="D104" s="2" t="s">
        <v>317</v>
      </c>
      <c r="E104" s="2" t="s">
        <v>317</v>
      </c>
      <c r="F104" s="2" t="s">
        <v>317</v>
      </c>
      <c r="G104" s="2" t="s">
        <v>317</v>
      </c>
      <c r="H104" s="2" t="s">
        <v>317</v>
      </c>
      <c r="I104" s="2" t="s">
        <v>317</v>
      </c>
      <c r="J104" s="2" t="s">
        <v>317</v>
      </c>
      <c r="K104" s="2" t="s">
        <v>317</v>
      </c>
      <c r="L104" s="2" t="s">
        <v>319</v>
      </c>
      <c r="M104" s="2" t="s">
        <v>317</v>
      </c>
      <c r="N104" s="2" t="s">
        <v>319</v>
      </c>
      <c r="O104" s="2" t="s">
        <v>317</v>
      </c>
      <c r="P104" s="2" t="s">
        <v>317</v>
      </c>
      <c r="Q104" s="2" t="s">
        <v>317</v>
      </c>
      <c r="R104" s="2" t="s">
        <v>317</v>
      </c>
      <c r="S104" s="2" t="s">
        <v>317</v>
      </c>
      <c r="T104" s="2" t="s">
        <v>317</v>
      </c>
      <c r="U104" s="2" t="s">
        <v>317</v>
      </c>
      <c r="V104" s="2" t="s">
        <v>317</v>
      </c>
      <c r="W104" s="2" t="s">
        <v>317</v>
      </c>
      <c r="X104" s="2" t="s">
        <v>318</v>
      </c>
      <c r="Y104" s="2" t="s">
        <v>317</v>
      </c>
      <c r="Z104" s="2" t="s">
        <v>317</v>
      </c>
      <c r="AA104" s="2" t="s">
        <v>317</v>
      </c>
      <c r="AB104" s="2" t="s">
        <v>317</v>
      </c>
      <c r="AC104" s="2" t="s">
        <v>317</v>
      </c>
      <c r="AD104" s="2" t="s">
        <v>317</v>
      </c>
    </row>
    <row r="105" spans="1:30" x14ac:dyDescent="0.3">
      <c r="A105" s="2" t="s">
        <v>229</v>
      </c>
      <c r="B105" s="2" t="s">
        <v>230</v>
      </c>
      <c r="C105" s="2" t="s">
        <v>319</v>
      </c>
      <c r="D105" s="2" t="s">
        <v>317</v>
      </c>
      <c r="E105" s="2" t="s">
        <v>320</v>
      </c>
      <c r="F105" s="2" t="s">
        <v>317</v>
      </c>
      <c r="G105" s="2" t="s">
        <v>318</v>
      </c>
      <c r="H105" s="2" t="s">
        <v>318</v>
      </c>
      <c r="I105" s="2" t="s">
        <v>317</v>
      </c>
      <c r="J105" s="2" t="s">
        <v>317</v>
      </c>
      <c r="K105" s="2" t="s">
        <v>317</v>
      </c>
      <c r="L105" s="2" t="s">
        <v>317</v>
      </c>
      <c r="M105" s="2" t="s">
        <v>317</v>
      </c>
      <c r="N105" s="2" t="s">
        <v>317</v>
      </c>
      <c r="O105" s="2" t="s">
        <v>317</v>
      </c>
      <c r="P105" s="2" t="s">
        <v>317</v>
      </c>
      <c r="Q105" s="2" t="s">
        <v>317</v>
      </c>
      <c r="R105" s="2" t="s">
        <v>317</v>
      </c>
      <c r="S105" s="2" t="s">
        <v>318</v>
      </c>
      <c r="T105" s="2" t="s">
        <v>317</v>
      </c>
      <c r="U105" s="2" t="s">
        <v>317</v>
      </c>
      <c r="V105" s="2" t="s">
        <v>317</v>
      </c>
      <c r="W105" s="2" t="s">
        <v>317</v>
      </c>
      <c r="X105" s="2" t="s">
        <v>317</v>
      </c>
      <c r="Y105" s="2" t="s">
        <v>317</v>
      </c>
      <c r="Z105" s="2" t="s">
        <v>317</v>
      </c>
      <c r="AA105" s="2" t="s">
        <v>319</v>
      </c>
      <c r="AB105" s="2" t="s">
        <v>320</v>
      </c>
      <c r="AC105" s="2" t="s">
        <v>319</v>
      </c>
      <c r="AD105" s="2" t="s">
        <v>317</v>
      </c>
    </row>
    <row r="106" spans="1:30" x14ac:dyDescent="0.3">
      <c r="A106" s="2" t="s">
        <v>231</v>
      </c>
      <c r="B106" s="2" t="s">
        <v>122</v>
      </c>
      <c r="C106" s="2" t="s">
        <v>317</v>
      </c>
      <c r="D106" s="2" t="s">
        <v>317</v>
      </c>
      <c r="E106" s="2" t="s">
        <v>317</v>
      </c>
      <c r="F106" s="2" t="s">
        <v>317</v>
      </c>
      <c r="G106" s="2" t="s">
        <v>317</v>
      </c>
      <c r="H106" s="2" t="s">
        <v>317</v>
      </c>
      <c r="I106" s="2" t="s">
        <v>317</v>
      </c>
      <c r="J106" s="2" t="s">
        <v>317</v>
      </c>
      <c r="K106" s="2" t="s">
        <v>317</v>
      </c>
      <c r="L106" s="2" t="s">
        <v>317</v>
      </c>
      <c r="M106" s="2" t="s">
        <v>317</v>
      </c>
      <c r="N106" s="2" t="s">
        <v>319</v>
      </c>
      <c r="O106" s="2" t="s">
        <v>317</v>
      </c>
      <c r="P106" s="2" t="s">
        <v>317</v>
      </c>
      <c r="Q106" s="2" t="s">
        <v>317</v>
      </c>
      <c r="R106" s="2" t="s">
        <v>317</v>
      </c>
      <c r="S106" s="2" t="s">
        <v>320</v>
      </c>
      <c r="T106" s="2" t="s">
        <v>317</v>
      </c>
      <c r="U106" s="2" t="s">
        <v>317</v>
      </c>
      <c r="V106" s="2" t="s">
        <v>317</v>
      </c>
      <c r="W106" s="2" t="s">
        <v>317</v>
      </c>
      <c r="X106" s="2" t="s">
        <v>317</v>
      </c>
      <c r="Y106" s="2" t="s">
        <v>317</v>
      </c>
      <c r="Z106" s="2" t="s">
        <v>317</v>
      </c>
      <c r="AA106" s="2" t="s">
        <v>317</v>
      </c>
      <c r="AB106" s="2" t="s">
        <v>317</v>
      </c>
      <c r="AC106" s="2" t="s">
        <v>317</v>
      </c>
      <c r="AD106" s="2" t="s">
        <v>317</v>
      </c>
    </row>
    <row r="107" spans="1:30" x14ac:dyDescent="0.3">
      <c r="A107" s="2" t="s">
        <v>232</v>
      </c>
      <c r="B107" s="2" t="s">
        <v>96</v>
      </c>
      <c r="C107" s="2" t="s">
        <v>317</v>
      </c>
      <c r="D107" s="2" t="s">
        <v>319</v>
      </c>
      <c r="E107" s="2" t="s">
        <v>317</v>
      </c>
      <c r="F107" s="2" t="s">
        <v>317</v>
      </c>
      <c r="G107" s="2" t="s">
        <v>319</v>
      </c>
      <c r="H107" s="2" t="s">
        <v>317</v>
      </c>
      <c r="I107" s="2" t="s">
        <v>317</v>
      </c>
      <c r="J107" s="2" t="s">
        <v>317</v>
      </c>
      <c r="K107" s="2" t="s">
        <v>320</v>
      </c>
      <c r="L107" s="2" t="s">
        <v>317</v>
      </c>
      <c r="M107" s="2" t="s">
        <v>317</v>
      </c>
      <c r="N107" s="2" t="s">
        <v>317</v>
      </c>
      <c r="O107" s="2" t="s">
        <v>317</v>
      </c>
      <c r="P107" s="2" t="s">
        <v>317</v>
      </c>
      <c r="Q107" s="2" t="s">
        <v>317</v>
      </c>
      <c r="R107" s="2" t="s">
        <v>317</v>
      </c>
      <c r="S107" s="2" t="s">
        <v>317</v>
      </c>
      <c r="T107" s="2" t="s">
        <v>317</v>
      </c>
      <c r="U107" s="2" t="s">
        <v>317</v>
      </c>
      <c r="V107" s="2" t="s">
        <v>317</v>
      </c>
      <c r="W107" s="2" t="s">
        <v>317</v>
      </c>
      <c r="X107" s="2" t="s">
        <v>317</v>
      </c>
      <c r="Y107" s="2" t="s">
        <v>317</v>
      </c>
      <c r="Z107" s="2" t="s">
        <v>317</v>
      </c>
      <c r="AA107" s="2" t="s">
        <v>317</v>
      </c>
      <c r="AB107" s="2" t="s">
        <v>319</v>
      </c>
      <c r="AC107" s="2" t="s">
        <v>318</v>
      </c>
      <c r="AD107" s="2" t="s">
        <v>317</v>
      </c>
    </row>
    <row r="108" spans="1:30" x14ac:dyDescent="0.3">
      <c r="A108" s="2" t="s">
        <v>233</v>
      </c>
      <c r="B108" s="2" t="s">
        <v>234</v>
      </c>
      <c r="C108" s="2" t="s">
        <v>320</v>
      </c>
      <c r="D108" s="2" t="s">
        <v>317</v>
      </c>
      <c r="E108" s="2" t="s">
        <v>317</v>
      </c>
      <c r="F108" s="2" t="s">
        <v>317</v>
      </c>
      <c r="G108" s="2" t="s">
        <v>317</v>
      </c>
      <c r="H108" s="2" t="s">
        <v>317</v>
      </c>
      <c r="I108" s="2" t="s">
        <v>317</v>
      </c>
      <c r="J108" s="2" t="s">
        <v>317</v>
      </c>
      <c r="K108" s="2" t="s">
        <v>317</v>
      </c>
      <c r="L108" s="2" t="s">
        <v>317</v>
      </c>
      <c r="M108" s="2" t="s">
        <v>317</v>
      </c>
      <c r="N108" s="2" t="s">
        <v>319</v>
      </c>
      <c r="O108" s="2" t="s">
        <v>319</v>
      </c>
      <c r="P108" s="2" t="s">
        <v>317</v>
      </c>
      <c r="Q108" s="2" t="s">
        <v>317</v>
      </c>
      <c r="R108" s="2" t="s">
        <v>317</v>
      </c>
      <c r="S108" s="2" t="s">
        <v>318</v>
      </c>
      <c r="T108" s="2" t="s">
        <v>317</v>
      </c>
      <c r="U108" s="2" t="s">
        <v>317</v>
      </c>
      <c r="V108" s="2" t="s">
        <v>317</v>
      </c>
      <c r="W108" s="2" t="s">
        <v>317</v>
      </c>
      <c r="X108" s="2" t="s">
        <v>317</v>
      </c>
      <c r="Y108" s="2" t="s">
        <v>317</v>
      </c>
      <c r="Z108" s="2" t="s">
        <v>317</v>
      </c>
      <c r="AA108" s="2" t="s">
        <v>317</v>
      </c>
      <c r="AB108" s="2" t="s">
        <v>317</v>
      </c>
      <c r="AC108" s="2" t="s">
        <v>317</v>
      </c>
      <c r="AD108" s="2" t="s">
        <v>318</v>
      </c>
    </row>
    <row r="109" spans="1:30" x14ac:dyDescent="0.3">
      <c r="A109" s="2" t="s">
        <v>235</v>
      </c>
      <c r="B109" s="2" t="s">
        <v>201</v>
      </c>
      <c r="C109" s="2" t="s">
        <v>317</v>
      </c>
      <c r="D109" s="2" t="s">
        <v>317</v>
      </c>
      <c r="E109" s="2" t="s">
        <v>317</v>
      </c>
      <c r="F109" s="2" t="s">
        <v>317</v>
      </c>
      <c r="G109" s="2" t="s">
        <v>319</v>
      </c>
      <c r="H109" s="2" t="s">
        <v>320</v>
      </c>
      <c r="I109" s="2" t="s">
        <v>318</v>
      </c>
      <c r="J109" s="2" t="s">
        <v>317</v>
      </c>
      <c r="K109" s="2" t="s">
        <v>317</v>
      </c>
      <c r="L109" s="2" t="s">
        <v>317</v>
      </c>
      <c r="M109" s="2" t="s">
        <v>317</v>
      </c>
      <c r="N109" s="2" t="s">
        <v>317</v>
      </c>
      <c r="O109" s="2" t="s">
        <v>317</v>
      </c>
      <c r="P109" s="2" t="s">
        <v>320</v>
      </c>
      <c r="Q109" s="2" t="s">
        <v>317</v>
      </c>
      <c r="R109" s="2" t="s">
        <v>317</v>
      </c>
      <c r="S109" s="2" t="s">
        <v>317</v>
      </c>
      <c r="T109" s="2" t="s">
        <v>317</v>
      </c>
      <c r="U109" s="2" t="s">
        <v>317</v>
      </c>
      <c r="V109" s="2" t="s">
        <v>317</v>
      </c>
      <c r="W109" s="2" t="s">
        <v>317</v>
      </c>
      <c r="X109" s="2" t="s">
        <v>317</v>
      </c>
      <c r="Y109" s="2" t="s">
        <v>317</v>
      </c>
      <c r="Z109" s="2" t="s">
        <v>317</v>
      </c>
      <c r="AA109" s="2" t="s">
        <v>317</v>
      </c>
      <c r="AB109" s="2" t="s">
        <v>317</v>
      </c>
      <c r="AC109" s="2" t="s">
        <v>317</v>
      </c>
      <c r="AD109" s="2" t="s">
        <v>317</v>
      </c>
    </row>
    <row r="110" spans="1:30" x14ac:dyDescent="0.3">
      <c r="A110" s="2" t="s">
        <v>236</v>
      </c>
      <c r="B110" s="2" t="s">
        <v>104</v>
      </c>
      <c r="C110" s="2" t="s">
        <v>317</v>
      </c>
      <c r="D110" s="2" t="s">
        <v>317</v>
      </c>
      <c r="E110" s="2" t="s">
        <v>317</v>
      </c>
      <c r="F110" s="2" t="s">
        <v>317</v>
      </c>
      <c r="G110" s="2" t="s">
        <v>317</v>
      </c>
      <c r="H110" s="2" t="s">
        <v>318</v>
      </c>
      <c r="I110" s="2" t="s">
        <v>317</v>
      </c>
      <c r="J110" s="2" t="s">
        <v>317</v>
      </c>
      <c r="K110" s="2" t="s">
        <v>317</v>
      </c>
      <c r="L110" s="2" t="s">
        <v>317</v>
      </c>
      <c r="M110" s="2" t="s">
        <v>317</v>
      </c>
      <c r="N110" s="2" t="s">
        <v>317</v>
      </c>
      <c r="O110" s="2" t="s">
        <v>317</v>
      </c>
      <c r="P110" s="2" t="s">
        <v>317</v>
      </c>
      <c r="Q110" s="2" t="s">
        <v>318</v>
      </c>
      <c r="R110" s="2" t="s">
        <v>317</v>
      </c>
      <c r="S110" s="2" t="s">
        <v>317</v>
      </c>
      <c r="T110" s="2" t="s">
        <v>317</v>
      </c>
      <c r="U110" s="2" t="s">
        <v>317</v>
      </c>
      <c r="V110" s="2" t="s">
        <v>317</v>
      </c>
      <c r="W110" s="2" t="s">
        <v>317</v>
      </c>
      <c r="X110" s="2" t="s">
        <v>317</v>
      </c>
      <c r="Y110" s="2" t="s">
        <v>317</v>
      </c>
      <c r="Z110" s="2" t="s">
        <v>317</v>
      </c>
      <c r="AA110" s="2" t="s">
        <v>317</v>
      </c>
      <c r="AB110" s="2" t="s">
        <v>317</v>
      </c>
      <c r="AC110" s="2" t="s">
        <v>317</v>
      </c>
      <c r="AD110" s="2" t="s">
        <v>317</v>
      </c>
    </row>
    <row r="111" spans="1:30" x14ac:dyDescent="0.3">
      <c r="A111" s="2" t="s">
        <v>237</v>
      </c>
      <c r="B111" s="2" t="s">
        <v>238</v>
      </c>
      <c r="C111" s="2" t="s">
        <v>318</v>
      </c>
      <c r="D111" s="2" t="s">
        <v>319</v>
      </c>
      <c r="E111" s="2" t="s">
        <v>318</v>
      </c>
      <c r="F111" s="2" t="s">
        <v>317</v>
      </c>
      <c r="G111" s="2" t="s">
        <v>319</v>
      </c>
      <c r="H111" s="2" t="s">
        <v>317</v>
      </c>
      <c r="I111" s="2" t="s">
        <v>317</v>
      </c>
      <c r="J111" s="2" t="s">
        <v>317</v>
      </c>
      <c r="K111" s="2" t="s">
        <v>317</v>
      </c>
      <c r="L111" s="2" t="s">
        <v>318</v>
      </c>
      <c r="M111" s="2" t="s">
        <v>317</v>
      </c>
      <c r="N111" s="2" t="s">
        <v>319</v>
      </c>
      <c r="O111" s="2" t="s">
        <v>317</v>
      </c>
      <c r="P111" s="2" t="s">
        <v>317</v>
      </c>
      <c r="Q111" s="2" t="s">
        <v>317</v>
      </c>
      <c r="R111" s="2" t="s">
        <v>317</v>
      </c>
      <c r="S111" s="2" t="s">
        <v>317</v>
      </c>
      <c r="T111" s="2" t="s">
        <v>317</v>
      </c>
      <c r="U111" s="2" t="s">
        <v>318</v>
      </c>
      <c r="V111" s="2" t="s">
        <v>318</v>
      </c>
      <c r="W111" s="2" t="s">
        <v>317</v>
      </c>
      <c r="X111" s="2" t="s">
        <v>317</v>
      </c>
      <c r="Y111" s="2" t="s">
        <v>317</v>
      </c>
      <c r="Z111" s="2" t="s">
        <v>319</v>
      </c>
      <c r="AA111" s="2" t="s">
        <v>320</v>
      </c>
      <c r="AB111" s="2" t="s">
        <v>317</v>
      </c>
      <c r="AC111" s="2" t="s">
        <v>317</v>
      </c>
      <c r="AD111" s="2" t="s">
        <v>317</v>
      </c>
    </row>
    <row r="112" spans="1:30" x14ac:dyDescent="0.3">
      <c r="A112" s="2" t="s">
        <v>239</v>
      </c>
      <c r="B112" s="2" t="s">
        <v>240</v>
      </c>
      <c r="C112" s="2" t="s">
        <v>317</v>
      </c>
      <c r="D112" s="2" t="s">
        <v>317</v>
      </c>
      <c r="E112" s="2" t="s">
        <v>318</v>
      </c>
      <c r="F112" s="2" t="s">
        <v>317</v>
      </c>
      <c r="G112" s="2" t="s">
        <v>317</v>
      </c>
      <c r="H112" s="2" t="s">
        <v>317</v>
      </c>
      <c r="I112" s="2" t="s">
        <v>317</v>
      </c>
      <c r="J112" s="2" t="s">
        <v>317</v>
      </c>
      <c r="K112" s="2" t="s">
        <v>317</v>
      </c>
      <c r="L112" s="2" t="s">
        <v>317</v>
      </c>
      <c r="M112" s="2" t="s">
        <v>317</v>
      </c>
      <c r="N112" s="2" t="s">
        <v>320</v>
      </c>
      <c r="O112" s="2" t="s">
        <v>320</v>
      </c>
      <c r="P112" s="2" t="s">
        <v>317</v>
      </c>
      <c r="Q112" s="2" t="s">
        <v>317</v>
      </c>
      <c r="R112" s="2" t="s">
        <v>320</v>
      </c>
      <c r="S112" s="2" t="s">
        <v>319</v>
      </c>
      <c r="T112" s="2" t="s">
        <v>317</v>
      </c>
      <c r="U112" s="2" t="s">
        <v>317</v>
      </c>
      <c r="V112" s="2" t="s">
        <v>317</v>
      </c>
      <c r="W112" s="2" t="s">
        <v>317</v>
      </c>
      <c r="X112" s="2" t="s">
        <v>317</v>
      </c>
      <c r="Y112" s="2" t="s">
        <v>317</v>
      </c>
      <c r="Z112" s="2" t="s">
        <v>317</v>
      </c>
      <c r="AA112" s="2" t="s">
        <v>317</v>
      </c>
      <c r="AB112" s="2" t="s">
        <v>318</v>
      </c>
      <c r="AC112" s="2" t="s">
        <v>317</v>
      </c>
      <c r="AD112" s="2" t="s">
        <v>317</v>
      </c>
    </row>
    <row r="113" spans="1:30" x14ac:dyDescent="0.3">
      <c r="A113" s="2" t="s">
        <v>241</v>
      </c>
      <c r="B113" s="2" t="s">
        <v>43</v>
      </c>
      <c r="C113" s="2" t="s">
        <v>319</v>
      </c>
      <c r="D113" s="2" t="s">
        <v>317</v>
      </c>
      <c r="E113" s="2" t="s">
        <v>317</v>
      </c>
      <c r="F113" s="2" t="s">
        <v>317</v>
      </c>
      <c r="G113" s="2" t="s">
        <v>317</v>
      </c>
      <c r="H113" s="2" t="s">
        <v>317</v>
      </c>
      <c r="I113" s="2" t="s">
        <v>317</v>
      </c>
      <c r="J113" s="2" t="s">
        <v>317</v>
      </c>
      <c r="K113" s="2" t="s">
        <v>317</v>
      </c>
      <c r="L113" s="2" t="s">
        <v>317</v>
      </c>
      <c r="M113" s="2" t="s">
        <v>317</v>
      </c>
      <c r="N113" s="2" t="s">
        <v>319</v>
      </c>
      <c r="O113" s="2" t="s">
        <v>317</v>
      </c>
      <c r="P113" s="2" t="s">
        <v>318</v>
      </c>
      <c r="Q113" s="2" t="s">
        <v>317</v>
      </c>
      <c r="R113" s="2" t="s">
        <v>317</v>
      </c>
      <c r="S113" s="2" t="s">
        <v>317</v>
      </c>
      <c r="T113" s="2" t="s">
        <v>317</v>
      </c>
      <c r="U113" s="2" t="s">
        <v>317</v>
      </c>
      <c r="V113" s="2" t="s">
        <v>317</v>
      </c>
      <c r="W113" s="2" t="s">
        <v>320</v>
      </c>
      <c r="X113" s="2" t="s">
        <v>317</v>
      </c>
      <c r="Y113" s="2" t="s">
        <v>317</v>
      </c>
      <c r="Z113" s="2" t="s">
        <v>320</v>
      </c>
      <c r="AA113" s="2" t="s">
        <v>317</v>
      </c>
      <c r="AB113" s="2" t="s">
        <v>317</v>
      </c>
      <c r="AC113" s="2" t="s">
        <v>320</v>
      </c>
      <c r="AD113" s="2" t="s">
        <v>317</v>
      </c>
    </row>
    <row r="114" spans="1:30" x14ac:dyDescent="0.3">
      <c r="A114" s="2" t="s">
        <v>242</v>
      </c>
      <c r="B114" s="2" t="s">
        <v>243</v>
      </c>
      <c r="C114" s="2" t="s">
        <v>317</v>
      </c>
      <c r="D114" s="2" t="s">
        <v>317</v>
      </c>
      <c r="E114" s="2" t="s">
        <v>317</v>
      </c>
      <c r="F114" s="2" t="s">
        <v>318</v>
      </c>
      <c r="G114" s="2" t="s">
        <v>317</v>
      </c>
      <c r="H114" s="2" t="s">
        <v>317</v>
      </c>
      <c r="I114" s="2" t="s">
        <v>318</v>
      </c>
      <c r="J114" s="2" t="s">
        <v>317</v>
      </c>
      <c r="K114" s="2" t="s">
        <v>317</v>
      </c>
      <c r="L114" s="2" t="s">
        <v>317</v>
      </c>
      <c r="M114" s="2" t="s">
        <v>318</v>
      </c>
      <c r="N114" s="2" t="s">
        <v>317</v>
      </c>
      <c r="O114" s="2" t="s">
        <v>317</v>
      </c>
      <c r="P114" s="2" t="s">
        <v>317</v>
      </c>
      <c r="Q114" s="2" t="s">
        <v>319</v>
      </c>
      <c r="R114" s="2" t="s">
        <v>317</v>
      </c>
      <c r="S114" s="2" t="s">
        <v>317</v>
      </c>
      <c r="T114" s="2" t="s">
        <v>317</v>
      </c>
      <c r="U114" s="2" t="s">
        <v>317</v>
      </c>
      <c r="V114" s="2" t="s">
        <v>317</v>
      </c>
      <c r="W114" s="2" t="s">
        <v>317</v>
      </c>
      <c r="X114" s="2" t="s">
        <v>317</v>
      </c>
      <c r="Y114" s="2" t="s">
        <v>317</v>
      </c>
      <c r="Z114" s="2" t="s">
        <v>317</v>
      </c>
      <c r="AA114" s="2" t="s">
        <v>317</v>
      </c>
      <c r="AB114" s="2" t="s">
        <v>317</v>
      </c>
      <c r="AC114" s="2" t="s">
        <v>317</v>
      </c>
      <c r="AD114" s="2" t="s">
        <v>318</v>
      </c>
    </row>
    <row r="115" spans="1:30" x14ac:dyDescent="0.3">
      <c r="A115" s="2" t="s">
        <v>244</v>
      </c>
      <c r="B115" s="2" t="s">
        <v>245</v>
      </c>
      <c r="C115" s="2" t="s">
        <v>317</v>
      </c>
      <c r="D115" s="2" t="s">
        <v>317</v>
      </c>
      <c r="E115" s="2" t="s">
        <v>317</v>
      </c>
      <c r="F115" s="2" t="s">
        <v>317</v>
      </c>
      <c r="G115" s="2" t="s">
        <v>317</v>
      </c>
      <c r="H115" s="2" t="s">
        <v>317</v>
      </c>
      <c r="I115" s="2" t="s">
        <v>317</v>
      </c>
      <c r="J115" s="2" t="s">
        <v>317</v>
      </c>
      <c r="K115" s="2" t="s">
        <v>317</v>
      </c>
      <c r="L115" s="2" t="s">
        <v>317</v>
      </c>
      <c r="M115" s="2" t="s">
        <v>317</v>
      </c>
      <c r="N115" s="2" t="s">
        <v>317</v>
      </c>
      <c r="O115" s="2" t="s">
        <v>317</v>
      </c>
      <c r="P115" s="2" t="s">
        <v>317</v>
      </c>
      <c r="Q115" s="2" t="s">
        <v>319</v>
      </c>
      <c r="R115" s="2" t="s">
        <v>317</v>
      </c>
      <c r="S115" s="2" t="s">
        <v>317</v>
      </c>
      <c r="T115" s="2" t="s">
        <v>317</v>
      </c>
      <c r="U115" s="2" t="s">
        <v>317</v>
      </c>
      <c r="V115" s="2" t="s">
        <v>317</v>
      </c>
      <c r="W115" s="2" t="s">
        <v>320</v>
      </c>
      <c r="X115" s="2" t="s">
        <v>320</v>
      </c>
      <c r="Y115" s="2" t="s">
        <v>317</v>
      </c>
      <c r="Z115" s="2" t="s">
        <v>317</v>
      </c>
      <c r="AA115" s="2" t="s">
        <v>317</v>
      </c>
      <c r="AB115" s="2" t="s">
        <v>317</v>
      </c>
      <c r="AC115" s="2" t="s">
        <v>317</v>
      </c>
      <c r="AD115" s="2" t="s">
        <v>320</v>
      </c>
    </row>
    <row r="116" spans="1:30" x14ac:dyDescent="0.3">
      <c r="A116" s="2" t="s">
        <v>246</v>
      </c>
      <c r="B116" s="2" t="s">
        <v>247</v>
      </c>
      <c r="C116" s="2" t="s">
        <v>317</v>
      </c>
      <c r="D116" s="2" t="s">
        <v>317</v>
      </c>
      <c r="E116" s="2" t="s">
        <v>318</v>
      </c>
      <c r="F116" s="2" t="s">
        <v>317</v>
      </c>
      <c r="G116" s="2" t="s">
        <v>317</v>
      </c>
      <c r="H116" s="2" t="s">
        <v>317</v>
      </c>
      <c r="I116" s="2" t="s">
        <v>317</v>
      </c>
      <c r="J116" s="2" t="s">
        <v>317</v>
      </c>
      <c r="K116" s="2" t="s">
        <v>320</v>
      </c>
      <c r="L116" s="2" t="s">
        <v>317</v>
      </c>
      <c r="M116" s="2" t="s">
        <v>317</v>
      </c>
      <c r="N116" s="2" t="s">
        <v>320</v>
      </c>
      <c r="O116" s="2" t="s">
        <v>317</v>
      </c>
      <c r="P116" s="2" t="s">
        <v>317</v>
      </c>
      <c r="Q116" s="2" t="s">
        <v>317</v>
      </c>
      <c r="R116" s="2" t="s">
        <v>318</v>
      </c>
      <c r="S116" s="2" t="s">
        <v>317</v>
      </c>
      <c r="T116" s="2" t="s">
        <v>317</v>
      </c>
      <c r="U116" s="2" t="s">
        <v>317</v>
      </c>
      <c r="V116" s="2" t="s">
        <v>317</v>
      </c>
      <c r="W116" s="2" t="s">
        <v>317</v>
      </c>
      <c r="X116" s="2" t="s">
        <v>317</v>
      </c>
      <c r="Y116" s="2" t="s">
        <v>317</v>
      </c>
      <c r="Z116" s="2" t="s">
        <v>317</v>
      </c>
      <c r="AA116" s="2" t="s">
        <v>317</v>
      </c>
      <c r="AB116" s="2" t="s">
        <v>317</v>
      </c>
      <c r="AC116" s="2" t="s">
        <v>317</v>
      </c>
      <c r="AD116" s="2" t="s">
        <v>317</v>
      </c>
    </row>
    <row r="117" spans="1:30" x14ac:dyDescent="0.3">
      <c r="A117" s="2" t="s">
        <v>248</v>
      </c>
      <c r="B117" s="2" t="s">
        <v>249</v>
      </c>
      <c r="C117" s="2" t="s">
        <v>317</v>
      </c>
      <c r="D117" s="2" t="s">
        <v>317</v>
      </c>
      <c r="E117" s="2" t="s">
        <v>318</v>
      </c>
      <c r="F117" s="2" t="s">
        <v>317</v>
      </c>
      <c r="G117" s="2" t="s">
        <v>317</v>
      </c>
      <c r="H117" s="2" t="s">
        <v>317</v>
      </c>
      <c r="I117" s="2" t="s">
        <v>318</v>
      </c>
      <c r="J117" s="2" t="s">
        <v>318</v>
      </c>
      <c r="K117" s="2" t="s">
        <v>317</v>
      </c>
      <c r="L117" s="2" t="s">
        <v>317</v>
      </c>
      <c r="M117" s="2" t="s">
        <v>317</v>
      </c>
      <c r="N117" s="2" t="s">
        <v>317</v>
      </c>
      <c r="O117" s="2" t="s">
        <v>317</v>
      </c>
      <c r="P117" s="2" t="s">
        <v>317</v>
      </c>
      <c r="Q117" s="2" t="s">
        <v>317</v>
      </c>
      <c r="R117" s="2" t="s">
        <v>317</v>
      </c>
      <c r="S117" s="2" t="s">
        <v>317</v>
      </c>
      <c r="T117" s="2" t="s">
        <v>317</v>
      </c>
      <c r="U117" s="2" t="s">
        <v>317</v>
      </c>
      <c r="V117" s="2" t="s">
        <v>317</v>
      </c>
      <c r="W117" s="2" t="s">
        <v>317</v>
      </c>
      <c r="X117" s="2" t="s">
        <v>317</v>
      </c>
      <c r="Y117" s="2" t="s">
        <v>318</v>
      </c>
      <c r="Z117" s="2" t="s">
        <v>317</v>
      </c>
      <c r="AA117" s="2" t="s">
        <v>317</v>
      </c>
      <c r="AB117" s="2" t="s">
        <v>317</v>
      </c>
      <c r="AC117" s="2" t="s">
        <v>317</v>
      </c>
      <c r="AD117" s="2" t="s">
        <v>317</v>
      </c>
    </row>
    <row r="118" spans="1:30" x14ac:dyDescent="0.3">
      <c r="A118" s="2" t="s">
        <v>250</v>
      </c>
      <c r="B118" s="2" t="s">
        <v>209</v>
      </c>
      <c r="C118" s="2" t="s">
        <v>317</v>
      </c>
      <c r="D118" s="2" t="s">
        <v>317</v>
      </c>
      <c r="E118" s="2" t="s">
        <v>317</v>
      </c>
      <c r="F118" s="2" t="s">
        <v>317</v>
      </c>
      <c r="G118" s="2" t="s">
        <v>318</v>
      </c>
      <c r="H118" s="2" t="s">
        <v>317</v>
      </c>
      <c r="I118" s="2" t="s">
        <v>317</v>
      </c>
      <c r="J118" s="2" t="s">
        <v>317</v>
      </c>
      <c r="K118" s="2" t="s">
        <v>320</v>
      </c>
      <c r="L118" s="2" t="s">
        <v>320</v>
      </c>
      <c r="M118" s="2" t="s">
        <v>317</v>
      </c>
      <c r="N118" s="2" t="s">
        <v>317</v>
      </c>
      <c r="O118" s="2" t="s">
        <v>317</v>
      </c>
      <c r="P118" s="2" t="s">
        <v>320</v>
      </c>
      <c r="Q118" s="2" t="s">
        <v>320</v>
      </c>
      <c r="R118" s="2" t="s">
        <v>317</v>
      </c>
      <c r="S118" s="2" t="s">
        <v>317</v>
      </c>
      <c r="T118" s="2" t="s">
        <v>317</v>
      </c>
      <c r="U118" s="2" t="s">
        <v>317</v>
      </c>
      <c r="V118" s="2" t="s">
        <v>317</v>
      </c>
      <c r="W118" s="2" t="s">
        <v>317</v>
      </c>
      <c r="X118" s="2" t="s">
        <v>317</v>
      </c>
      <c r="Y118" s="2" t="s">
        <v>317</v>
      </c>
      <c r="Z118" s="2" t="s">
        <v>317</v>
      </c>
      <c r="AA118" s="2" t="s">
        <v>317</v>
      </c>
      <c r="AB118" s="2" t="s">
        <v>317</v>
      </c>
      <c r="AC118" s="2" t="s">
        <v>317</v>
      </c>
      <c r="AD118" s="2" t="s">
        <v>317</v>
      </c>
    </row>
    <row r="119" spans="1:30" x14ac:dyDescent="0.3">
      <c r="A119" s="2" t="s">
        <v>251</v>
      </c>
      <c r="B119" s="2" t="s">
        <v>163</v>
      </c>
      <c r="C119" s="2" t="s">
        <v>319</v>
      </c>
      <c r="D119" s="2" t="s">
        <v>317</v>
      </c>
      <c r="E119" s="2" t="s">
        <v>317</v>
      </c>
      <c r="F119" s="2" t="s">
        <v>317</v>
      </c>
      <c r="G119" s="2" t="s">
        <v>317</v>
      </c>
      <c r="H119" s="2" t="s">
        <v>317</v>
      </c>
      <c r="I119" s="2" t="s">
        <v>317</v>
      </c>
      <c r="J119" s="2" t="s">
        <v>317</v>
      </c>
      <c r="K119" s="2" t="s">
        <v>317</v>
      </c>
      <c r="L119" s="2" t="s">
        <v>317</v>
      </c>
      <c r="M119" s="2" t="s">
        <v>317</v>
      </c>
      <c r="N119" s="2" t="s">
        <v>317</v>
      </c>
      <c r="O119" s="2" t="s">
        <v>317</v>
      </c>
      <c r="P119" s="2" t="s">
        <v>317</v>
      </c>
      <c r="Q119" s="2" t="s">
        <v>317</v>
      </c>
      <c r="R119" s="2" t="s">
        <v>317</v>
      </c>
      <c r="S119" s="2" t="s">
        <v>317</v>
      </c>
      <c r="T119" s="2" t="s">
        <v>318</v>
      </c>
      <c r="U119" s="2" t="s">
        <v>317</v>
      </c>
      <c r="V119" s="2" t="s">
        <v>319</v>
      </c>
      <c r="W119" s="2" t="s">
        <v>317</v>
      </c>
      <c r="X119" s="2" t="s">
        <v>317</v>
      </c>
      <c r="Y119" s="2" t="s">
        <v>317</v>
      </c>
      <c r="Z119" s="2" t="s">
        <v>317</v>
      </c>
      <c r="AA119" s="2" t="s">
        <v>317</v>
      </c>
      <c r="AB119" s="2" t="s">
        <v>317</v>
      </c>
      <c r="AC119" s="2" t="s">
        <v>317</v>
      </c>
      <c r="AD119" s="2" t="s">
        <v>317</v>
      </c>
    </row>
    <row r="120" spans="1:30" x14ac:dyDescent="0.3">
      <c r="A120" s="2" t="s">
        <v>252</v>
      </c>
      <c r="B120" s="2" t="s">
        <v>253</v>
      </c>
      <c r="C120" s="2" t="s">
        <v>317</v>
      </c>
      <c r="D120" s="2" t="s">
        <v>317</v>
      </c>
      <c r="E120" s="2" t="s">
        <v>317</v>
      </c>
      <c r="F120" s="2" t="s">
        <v>317</v>
      </c>
      <c r="G120" s="2" t="s">
        <v>320</v>
      </c>
      <c r="H120" s="2" t="s">
        <v>317</v>
      </c>
      <c r="I120" s="2" t="s">
        <v>317</v>
      </c>
      <c r="J120" s="2" t="s">
        <v>317</v>
      </c>
      <c r="K120" s="2" t="s">
        <v>317</v>
      </c>
      <c r="L120" s="2" t="s">
        <v>319</v>
      </c>
      <c r="M120" s="2" t="s">
        <v>317</v>
      </c>
      <c r="N120" s="2" t="s">
        <v>317</v>
      </c>
      <c r="O120" s="2" t="s">
        <v>319</v>
      </c>
      <c r="P120" s="2" t="s">
        <v>317</v>
      </c>
      <c r="Q120" s="2" t="s">
        <v>317</v>
      </c>
      <c r="R120" s="2" t="s">
        <v>317</v>
      </c>
      <c r="S120" s="2" t="s">
        <v>318</v>
      </c>
      <c r="T120" s="2" t="s">
        <v>317</v>
      </c>
      <c r="U120" s="2" t="s">
        <v>317</v>
      </c>
      <c r="V120" s="2" t="s">
        <v>318</v>
      </c>
      <c r="W120" s="2" t="s">
        <v>319</v>
      </c>
      <c r="X120" s="2" t="s">
        <v>317</v>
      </c>
      <c r="Y120" s="2" t="s">
        <v>317</v>
      </c>
      <c r="Z120" s="2" t="s">
        <v>317</v>
      </c>
      <c r="AA120" s="2" t="s">
        <v>317</v>
      </c>
      <c r="AB120" s="2" t="s">
        <v>317</v>
      </c>
      <c r="AC120" s="2" t="s">
        <v>317</v>
      </c>
      <c r="AD120" s="2" t="s">
        <v>317</v>
      </c>
    </row>
    <row r="121" spans="1:30" x14ac:dyDescent="0.3">
      <c r="A121" s="2" t="s">
        <v>254</v>
      </c>
      <c r="B121" s="2" t="s">
        <v>255</v>
      </c>
      <c r="C121" s="2" t="s">
        <v>317</v>
      </c>
      <c r="D121" s="2" t="s">
        <v>317</v>
      </c>
      <c r="E121" s="2" t="s">
        <v>317</v>
      </c>
      <c r="F121" s="2" t="s">
        <v>317</v>
      </c>
      <c r="G121" s="2" t="s">
        <v>317</v>
      </c>
      <c r="H121" s="2" t="s">
        <v>317</v>
      </c>
      <c r="I121" s="2" t="s">
        <v>317</v>
      </c>
      <c r="J121" s="2" t="s">
        <v>318</v>
      </c>
      <c r="K121" s="2" t="s">
        <v>317</v>
      </c>
      <c r="L121" s="2" t="s">
        <v>317</v>
      </c>
      <c r="M121" s="2" t="s">
        <v>317</v>
      </c>
      <c r="N121" s="2" t="s">
        <v>317</v>
      </c>
      <c r="O121" s="2" t="s">
        <v>319</v>
      </c>
      <c r="P121" s="2" t="s">
        <v>317</v>
      </c>
      <c r="Q121" s="2" t="s">
        <v>317</v>
      </c>
      <c r="R121" s="2" t="s">
        <v>317</v>
      </c>
      <c r="S121" s="2" t="s">
        <v>317</v>
      </c>
      <c r="T121" s="2" t="s">
        <v>317</v>
      </c>
      <c r="U121" s="2" t="s">
        <v>319</v>
      </c>
      <c r="V121" s="2" t="s">
        <v>317</v>
      </c>
      <c r="W121" s="2" t="s">
        <v>320</v>
      </c>
      <c r="X121" s="2" t="s">
        <v>317</v>
      </c>
      <c r="Y121" s="2" t="s">
        <v>318</v>
      </c>
      <c r="Z121" s="2" t="s">
        <v>317</v>
      </c>
      <c r="AA121" s="2" t="s">
        <v>317</v>
      </c>
      <c r="AB121" s="2" t="s">
        <v>317</v>
      </c>
      <c r="AC121" s="2" t="s">
        <v>317</v>
      </c>
      <c r="AD121" s="2" t="s">
        <v>317</v>
      </c>
    </row>
    <row r="122" spans="1:30" x14ac:dyDescent="0.3">
      <c r="A122" s="2" t="s">
        <v>256</v>
      </c>
      <c r="B122" s="2" t="s">
        <v>257</v>
      </c>
      <c r="C122" s="2" t="s">
        <v>317</v>
      </c>
      <c r="D122" s="2" t="s">
        <v>317</v>
      </c>
      <c r="E122" s="2" t="s">
        <v>317</v>
      </c>
      <c r="F122" s="2" t="s">
        <v>317</v>
      </c>
      <c r="G122" s="2" t="s">
        <v>317</v>
      </c>
      <c r="H122" s="2" t="s">
        <v>317</v>
      </c>
      <c r="I122" s="2" t="s">
        <v>317</v>
      </c>
      <c r="J122" s="2" t="s">
        <v>317</v>
      </c>
      <c r="K122" s="2" t="s">
        <v>317</v>
      </c>
      <c r="L122" s="2" t="s">
        <v>317</v>
      </c>
      <c r="M122" s="2" t="s">
        <v>317</v>
      </c>
      <c r="N122" s="2" t="s">
        <v>317</v>
      </c>
      <c r="O122" s="2" t="s">
        <v>317</v>
      </c>
      <c r="P122" s="2" t="s">
        <v>317</v>
      </c>
      <c r="Q122" s="2" t="s">
        <v>317</v>
      </c>
      <c r="R122" s="2" t="s">
        <v>317</v>
      </c>
      <c r="S122" s="2" t="s">
        <v>317</v>
      </c>
      <c r="T122" s="2" t="s">
        <v>317</v>
      </c>
      <c r="U122" s="2" t="s">
        <v>317</v>
      </c>
      <c r="V122" s="2" t="s">
        <v>317</v>
      </c>
      <c r="W122" s="2" t="s">
        <v>320</v>
      </c>
      <c r="X122" s="2" t="s">
        <v>317</v>
      </c>
      <c r="Y122" s="2" t="s">
        <v>317</v>
      </c>
      <c r="Z122" s="2" t="s">
        <v>317</v>
      </c>
      <c r="AA122" s="2" t="s">
        <v>317</v>
      </c>
      <c r="AB122" s="2" t="s">
        <v>317</v>
      </c>
      <c r="AC122" s="2" t="s">
        <v>317</v>
      </c>
      <c r="AD122" s="2" t="s">
        <v>317</v>
      </c>
    </row>
    <row r="123" spans="1:30" x14ac:dyDescent="0.3">
      <c r="A123" s="2" t="s">
        <v>258</v>
      </c>
      <c r="B123" s="2" t="s">
        <v>259</v>
      </c>
      <c r="C123" s="2" t="s">
        <v>317</v>
      </c>
      <c r="D123" s="2" t="s">
        <v>317</v>
      </c>
      <c r="E123" s="2" t="s">
        <v>317</v>
      </c>
      <c r="F123" s="2" t="s">
        <v>317</v>
      </c>
      <c r="G123" s="2" t="s">
        <v>317</v>
      </c>
      <c r="H123" s="2" t="s">
        <v>317</v>
      </c>
      <c r="I123" s="2" t="s">
        <v>317</v>
      </c>
      <c r="J123" s="2" t="s">
        <v>317</v>
      </c>
      <c r="K123" s="2" t="s">
        <v>317</v>
      </c>
      <c r="L123" s="2" t="s">
        <v>317</v>
      </c>
      <c r="M123" s="2" t="s">
        <v>317</v>
      </c>
      <c r="N123" s="2" t="s">
        <v>317</v>
      </c>
      <c r="O123" s="2" t="s">
        <v>317</v>
      </c>
      <c r="P123" s="2" t="s">
        <v>317</v>
      </c>
      <c r="Q123" s="2" t="s">
        <v>317</v>
      </c>
      <c r="R123" s="2" t="s">
        <v>317</v>
      </c>
      <c r="S123" s="2" t="s">
        <v>317</v>
      </c>
      <c r="T123" s="2" t="s">
        <v>317</v>
      </c>
      <c r="U123" s="2" t="s">
        <v>317</v>
      </c>
      <c r="V123" s="2" t="s">
        <v>317</v>
      </c>
      <c r="W123" s="2" t="s">
        <v>317</v>
      </c>
      <c r="X123" s="2" t="s">
        <v>318</v>
      </c>
      <c r="Y123" s="2" t="s">
        <v>317</v>
      </c>
      <c r="Z123" s="2" t="s">
        <v>317</v>
      </c>
      <c r="AA123" s="2" t="s">
        <v>317</v>
      </c>
      <c r="AB123" s="2" t="s">
        <v>317</v>
      </c>
      <c r="AC123" s="2" t="s">
        <v>317</v>
      </c>
      <c r="AD123" s="2" t="s">
        <v>320</v>
      </c>
    </row>
    <row r="124" spans="1:30" x14ac:dyDescent="0.3">
      <c r="A124" s="2" t="s">
        <v>260</v>
      </c>
      <c r="B124" s="2" t="s">
        <v>243</v>
      </c>
      <c r="C124" s="2" t="s">
        <v>318</v>
      </c>
      <c r="D124" s="2" t="s">
        <v>317</v>
      </c>
      <c r="E124" s="2" t="s">
        <v>317</v>
      </c>
      <c r="F124" s="2" t="s">
        <v>317</v>
      </c>
      <c r="G124" s="2" t="s">
        <v>317</v>
      </c>
      <c r="H124" s="2" t="s">
        <v>317</v>
      </c>
      <c r="I124" s="2" t="s">
        <v>317</v>
      </c>
      <c r="J124" s="2" t="s">
        <v>317</v>
      </c>
      <c r="K124" s="2" t="s">
        <v>320</v>
      </c>
      <c r="L124" s="2" t="s">
        <v>319</v>
      </c>
      <c r="M124" s="2" t="s">
        <v>317</v>
      </c>
      <c r="N124" s="2" t="s">
        <v>317</v>
      </c>
      <c r="O124" s="2" t="s">
        <v>317</v>
      </c>
      <c r="P124" s="2" t="s">
        <v>317</v>
      </c>
      <c r="Q124" s="2" t="s">
        <v>317</v>
      </c>
      <c r="R124" s="2" t="s">
        <v>320</v>
      </c>
      <c r="S124" s="2" t="s">
        <v>317</v>
      </c>
      <c r="T124" s="2" t="s">
        <v>319</v>
      </c>
      <c r="U124" s="2" t="s">
        <v>317</v>
      </c>
      <c r="V124" s="2" t="s">
        <v>317</v>
      </c>
      <c r="W124" s="2" t="s">
        <v>317</v>
      </c>
      <c r="X124" s="2" t="s">
        <v>318</v>
      </c>
      <c r="Y124" s="2" t="s">
        <v>320</v>
      </c>
      <c r="Z124" s="2" t="s">
        <v>317</v>
      </c>
      <c r="AA124" s="2" t="s">
        <v>317</v>
      </c>
      <c r="AB124" s="2" t="s">
        <v>317</v>
      </c>
      <c r="AC124" s="2" t="s">
        <v>319</v>
      </c>
      <c r="AD124" s="2" t="s">
        <v>317</v>
      </c>
    </row>
    <row r="125" spans="1:30" x14ac:dyDescent="0.3">
      <c r="A125" s="2" t="s">
        <v>261</v>
      </c>
      <c r="B125" s="2" t="s">
        <v>226</v>
      </c>
      <c r="C125" s="2" t="s">
        <v>317</v>
      </c>
      <c r="D125" s="2" t="s">
        <v>317</v>
      </c>
      <c r="E125" s="2" t="s">
        <v>320</v>
      </c>
      <c r="F125" s="2" t="s">
        <v>317</v>
      </c>
      <c r="G125" s="2" t="s">
        <v>320</v>
      </c>
      <c r="H125" s="2" t="s">
        <v>317</v>
      </c>
      <c r="I125" s="2" t="s">
        <v>317</v>
      </c>
      <c r="J125" s="2" t="s">
        <v>317</v>
      </c>
      <c r="K125" s="2" t="s">
        <v>317</v>
      </c>
      <c r="L125" s="2" t="s">
        <v>317</v>
      </c>
      <c r="M125" s="2" t="s">
        <v>317</v>
      </c>
      <c r="N125" s="2" t="s">
        <v>317</v>
      </c>
      <c r="O125" s="2" t="s">
        <v>317</v>
      </c>
      <c r="P125" s="2" t="s">
        <v>317</v>
      </c>
      <c r="Q125" s="2" t="s">
        <v>319</v>
      </c>
      <c r="R125" s="2" t="s">
        <v>317</v>
      </c>
      <c r="S125" s="2" t="s">
        <v>317</v>
      </c>
      <c r="T125" s="2" t="s">
        <v>318</v>
      </c>
      <c r="U125" s="2" t="s">
        <v>317</v>
      </c>
      <c r="V125" s="2" t="s">
        <v>317</v>
      </c>
      <c r="W125" s="2" t="s">
        <v>317</v>
      </c>
      <c r="X125" s="2" t="s">
        <v>317</v>
      </c>
      <c r="Y125" s="2" t="s">
        <v>317</v>
      </c>
      <c r="Z125" s="2" t="s">
        <v>317</v>
      </c>
      <c r="AA125" s="2" t="s">
        <v>317</v>
      </c>
      <c r="AB125" s="2" t="s">
        <v>317</v>
      </c>
      <c r="AC125" s="2" t="s">
        <v>317</v>
      </c>
      <c r="AD125" s="2" t="s">
        <v>317</v>
      </c>
    </row>
    <row r="126" spans="1:30" x14ac:dyDescent="0.3">
      <c r="A126" s="2" t="s">
        <v>262</v>
      </c>
      <c r="B126" s="2" t="s">
        <v>263</v>
      </c>
      <c r="C126" s="2" t="s">
        <v>317</v>
      </c>
      <c r="D126" s="2" t="s">
        <v>317</v>
      </c>
      <c r="E126" s="2" t="s">
        <v>317</v>
      </c>
      <c r="F126" s="2" t="s">
        <v>317</v>
      </c>
      <c r="G126" s="2" t="s">
        <v>317</v>
      </c>
      <c r="H126" s="2" t="s">
        <v>317</v>
      </c>
      <c r="I126" s="2" t="s">
        <v>317</v>
      </c>
      <c r="J126" s="2" t="s">
        <v>317</v>
      </c>
      <c r="K126" s="2" t="s">
        <v>317</v>
      </c>
      <c r="L126" s="2" t="s">
        <v>320</v>
      </c>
      <c r="M126" s="2" t="s">
        <v>317</v>
      </c>
      <c r="N126" s="2" t="s">
        <v>317</v>
      </c>
      <c r="O126" s="2" t="s">
        <v>319</v>
      </c>
      <c r="P126" s="2" t="s">
        <v>320</v>
      </c>
      <c r="Q126" s="2" t="s">
        <v>317</v>
      </c>
      <c r="R126" s="2" t="s">
        <v>317</v>
      </c>
      <c r="S126" s="2" t="s">
        <v>317</v>
      </c>
      <c r="T126" s="2" t="s">
        <v>317</v>
      </c>
      <c r="U126" s="2" t="s">
        <v>317</v>
      </c>
      <c r="V126" s="2" t="s">
        <v>317</v>
      </c>
      <c r="W126" s="2" t="s">
        <v>317</v>
      </c>
      <c r="X126" s="2" t="s">
        <v>320</v>
      </c>
      <c r="Y126" s="2" t="s">
        <v>317</v>
      </c>
      <c r="Z126" s="2" t="s">
        <v>318</v>
      </c>
      <c r="AA126" s="2" t="s">
        <v>317</v>
      </c>
      <c r="AB126" s="2" t="s">
        <v>317</v>
      </c>
      <c r="AC126" s="2" t="s">
        <v>318</v>
      </c>
      <c r="AD126" s="2" t="s">
        <v>318</v>
      </c>
    </row>
    <row r="127" spans="1:30" x14ac:dyDescent="0.3">
      <c r="A127" s="2" t="s">
        <v>264</v>
      </c>
      <c r="B127" s="2" t="s">
        <v>230</v>
      </c>
      <c r="C127" s="2" t="s">
        <v>318</v>
      </c>
      <c r="D127" s="2" t="s">
        <v>318</v>
      </c>
      <c r="E127" s="2" t="s">
        <v>317</v>
      </c>
      <c r="F127" s="2" t="s">
        <v>317</v>
      </c>
      <c r="G127" s="2" t="s">
        <v>317</v>
      </c>
      <c r="H127" s="2" t="s">
        <v>317</v>
      </c>
      <c r="I127" s="2" t="s">
        <v>317</v>
      </c>
      <c r="J127" s="2" t="s">
        <v>317</v>
      </c>
      <c r="K127" s="2" t="s">
        <v>317</v>
      </c>
      <c r="L127" s="2" t="s">
        <v>317</v>
      </c>
      <c r="M127" s="2" t="s">
        <v>317</v>
      </c>
      <c r="N127" s="2" t="s">
        <v>320</v>
      </c>
      <c r="O127" s="2" t="s">
        <v>317</v>
      </c>
      <c r="P127" s="2" t="s">
        <v>317</v>
      </c>
      <c r="Q127" s="2" t="s">
        <v>317</v>
      </c>
      <c r="R127" s="2" t="s">
        <v>320</v>
      </c>
      <c r="S127" s="2" t="s">
        <v>317</v>
      </c>
      <c r="T127" s="2" t="s">
        <v>317</v>
      </c>
      <c r="U127" s="2" t="s">
        <v>317</v>
      </c>
      <c r="V127" s="2" t="s">
        <v>317</v>
      </c>
      <c r="W127" s="2" t="s">
        <v>317</v>
      </c>
      <c r="X127" s="2" t="s">
        <v>317</v>
      </c>
      <c r="Y127" s="2" t="s">
        <v>317</v>
      </c>
      <c r="Z127" s="2" t="s">
        <v>317</v>
      </c>
      <c r="AA127" s="2" t="s">
        <v>317</v>
      </c>
      <c r="AB127" s="2" t="s">
        <v>317</v>
      </c>
      <c r="AC127" s="2" t="s">
        <v>317</v>
      </c>
      <c r="AD127" s="2" t="s">
        <v>319</v>
      </c>
    </row>
    <row r="128" spans="1:30" x14ac:dyDescent="0.3">
      <c r="A128" s="2" t="s">
        <v>265</v>
      </c>
      <c r="B128" s="2" t="s">
        <v>156</v>
      </c>
      <c r="C128" s="2" t="s">
        <v>317</v>
      </c>
      <c r="D128" s="2" t="s">
        <v>317</v>
      </c>
      <c r="E128" s="2" t="s">
        <v>317</v>
      </c>
      <c r="F128" s="2" t="s">
        <v>317</v>
      </c>
      <c r="G128" s="2" t="s">
        <v>317</v>
      </c>
      <c r="H128" s="2" t="s">
        <v>317</v>
      </c>
      <c r="I128" s="2" t="s">
        <v>317</v>
      </c>
      <c r="J128" s="2" t="s">
        <v>320</v>
      </c>
      <c r="K128" s="2" t="s">
        <v>317</v>
      </c>
      <c r="L128" s="2" t="s">
        <v>317</v>
      </c>
      <c r="M128" s="2" t="s">
        <v>319</v>
      </c>
      <c r="N128" s="2" t="s">
        <v>317</v>
      </c>
      <c r="O128" s="2" t="s">
        <v>317</v>
      </c>
      <c r="P128" s="2" t="s">
        <v>317</v>
      </c>
      <c r="Q128" s="2" t="s">
        <v>317</v>
      </c>
      <c r="R128" s="2" t="s">
        <v>317</v>
      </c>
      <c r="S128" s="2" t="s">
        <v>317</v>
      </c>
      <c r="T128" s="2" t="s">
        <v>317</v>
      </c>
      <c r="U128" s="2" t="s">
        <v>317</v>
      </c>
      <c r="V128" s="2" t="s">
        <v>317</v>
      </c>
      <c r="W128" s="2" t="s">
        <v>317</v>
      </c>
      <c r="X128" s="2" t="s">
        <v>317</v>
      </c>
      <c r="Y128" s="2" t="s">
        <v>317</v>
      </c>
      <c r="Z128" s="2" t="s">
        <v>320</v>
      </c>
      <c r="AA128" s="2" t="s">
        <v>317</v>
      </c>
      <c r="AB128" s="2" t="s">
        <v>320</v>
      </c>
      <c r="AC128" s="2" t="s">
        <v>317</v>
      </c>
      <c r="AD128" s="2" t="s">
        <v>317</v>
      </c>
    </row>
    <row r="129" spans="1:30" x14ac:dyDescent="0.3">
      <c r="A129" s="2" t="s">
        <v>266</v>
      </c>
      <c r="B129" s="2" t="s">
        <v>267</v>
      </c>
      <c r="C129" s="2" t="s">
        <v>317</v>
      </c>
      <c r="D129" s="2" t="s">
        <v>317</v>
      </c>
      <c r="E129" s="2" t="s">
        <v>317</v>
      </c>
      <c r="F129" s="2" t="s">
        <v>317</v>
      </c>
      <c r="G129" s="2" t="s">
        <v>317</v>
      </c>
      <c r="H129" s="2" t="s">
        <v>317</v>
      </c>
      <c r="I129" s="2" t="s">
        <v>317</v>
      </c>
      <c r="J129" s="2" t="s">
        <v>317</v>
      </c>
      <c r="K129" s="2" t="s">
        <v>317</v>
      </c>
      <c r="L129" s="2" t="s">
        <v>317</v>
      </c>
      <c r="M129" s="2" t="s">
        <v>317</v>
      </c>
      <c r="N129" s="2" t="s">
        <v>318</v>
      </c>
      <c r="O129" s="2" t="s">
        <v>317</v>
      </c>
      <c r="P129" s="2" t="s">
        <v>317</v>
      </c>
      <c r="Q129" s="2" t="s">
        <v>317</v>
      </c>
      <c r="R129" s="2" t="s">
        <v>317</v>
      </c>
      <c r="S129" s="2" t="s">
        <v>317</v>
      </c>
      <c r="T129" s="2" t="s">
        <v>317</v>
      </c>
      <c r="U129" s="2" t="s">
        <v>317</v>
      </c>
      <c r="V129" s="2" t="s">
        <v>317</v>
      </c>
      <c r="W129" s="2" t="s">
        <v>317</v>
      </c>
      <c r="X129" s="2" t="s">
        <v>317</v>
      </c>
      <c r="Y129" s="2" t="s">
        <v>317</v>
      </c>
      <c r="Z129" s="2" t="s">
        <v>317</v>
      </c>
      <c r="AA129" s="2" t="s">
        <v>317</v>
      </c>
      <c r="AB129" s="2" t="s">
        <v>317</v>
      </c>
      <c r="AC129" s="2" t="s">
        <v>317</v>
      </c>
      <c r="AD129" s="2" t="s">
        <v>317</v>
      </c>
    </row>
    <row r="130" spans="1:30" x14ac:dyDescent="0.3">
      <c r="A130" s="2" t="s">
        <v>268</v>
      </c>
      <c r="B130" s="2" t="s">
        <v>176</v>
      </c>
      <c r="C130" s="2" t="s">
        <v>317</v>
      </c>
      <c r="D130" s="2" t="s">
        <v>317</v>
      </c>
      <c r="E130" s="2" t="s">
        <v>317</v>
      </c>
      <c r="F130" s="2" t="s">
        <v>317</v>
      </c>
      <c r="G130" s="2" t="s">
        <v>317</v>
      </c>
      <c r="H130" s="2" t="s">
        <v>317</v>
      </c>
      <c r="I130" s="2" t="s">
        <v>320</v>
      </c>
      <c r="J130" s="2" t="s">
        <v>317</v>
      </c>
      <c r="K130" s="2" t="s">
        <v>317</v>
      </c>
      <c r="L130" s="2" t="s">
        <v>317</v>
      </c>
      <c r="M130" s="2" t="s">
        <v>317</v>
      </c>
      <c r="N130" s="2" t="s">
        <v>317</v>
      </c>
      <c r="O130" s="2" t="s">
        <v>317</v>
      </c>
      <c r="P130" s="2" t="s">
        <v>317</v>
      </c>
      <c r="Q130" s="2" t="s">
        <v>317</v>
      </c>
      <c r="R130" s="2" t="s">
        <v>317</v>
      </c>
      <c r="S130" s="2" t="s">
        <v>317</v>
      </c>
      <c r="T130" s="2" t="s">
        <v>317</v>
      </c>
      <c r="U130" s="2" t="s">
        <v>317</v>
      </c>
      <c r="V130" s="2" t="s">
        <v>317</v>
      </c>
      <c r="W130" s="2" t="s">
        <v>317</v>
      </c>
      <c r="X130" s="2" t="s">
        <v>317</v>
      </c>
      <c r="Y130" s="2" t="s">
        <v>318</v>
      </c>
      <c r="Z130" s="2" t="s">
        <v>317</v>
      </c>
      <c r="AA130" s="2" t="s">
        <v>320</v>
      </c>
      <c r="AB130" s="2" t="s">
        <v>317</v>
      </c>
      <c r="AC130" s="2" t="s">
        <v>317</v>
      </c>
      <c r="AD130" s="2" t="s">
        <v>317</v>
      </c>
    </row>
    <row r="131" spans="1:30" x14ac:dyDescent="0.3">
      <c r="A131" s="2" t="s">
        <v>269</v>
      </c>
      <c r="B131" s="2" t="s">
        <v>270</v>
      </c>
      <c r="C131" s="2" t="s">
        <v>320</v>
      </c>
      <c r="D131" s="2" t="s">
        <v>317</v>
      </c>
      <c r="E131" s="2" t="s">
        <v>317</v>
      </c>
      <c r="F131" s="2" t="s">
        <v>317</v>
      </c>
      <c r="G131" s="2" t="s">
        <v>320</v>
      </c>
      <c r="H131" s="2" t="s">
        <v>317</v>
      </c>
      <c r="I131" s="2" t="s">
        <v>317</v>
      </c>
      <c r="J131" s="2" t="s">
        <v>319</v>
      </c>
      <c r="K131" s="2" t="s">
        <v>318</v>
      </c>
      <c r="L131" s="2" t="s">
        <v>317</v>
      </c>
      <c r="M131" s="2" t="s">
        <v>318</v>
      </c>
      <c r="N131" s="2" t="s">
        <v>317</v>
      </c>
      <c r="O131" s="2" t="s">
        <v>317</v>
      </c>
      <c r="P131" s="2" t="s">
        <v>317</v>
      </c>
      <c r="Q131" s="2" t="s">
        <v>317</v>
      </c>
      <c r="R131" s="2" t="s">
        <v>319</v>
      </c>
      <c r="S131" s="2" t="s">
        <v>317</v>
      </c>
      <c r="T131" s="2" t="s">
        <v>317</v>
      </c>
      <c r="U131" s="2" t="s">
        <v>317</v>
      </c>
      <c r="V131" s="2" t="s">
        <v>317</v>
      </c>
      <c r="W131" s="2" t="s">
        <v>317</v>
      </c>
      <c r="X131" s="2" t="s">
        <v>317</v>
      </c>
      <c r="Y131" s="2" t="s">
        <v>317</v>
      </c>
      <c r="Z131" s="2" t="s">
        <v>317</v>
      </c>
      <c r="AA131" s="2" t="s">
        <v>317</v>
      </c>
      <c r="AB131" s="2" t="s">
        <v>317</v>
      </c>
      <c r="AC131" s="2" t="s">
        <v>319</v>
      </c>
      <c r="AD131" s="2" t="s">
        <v>317</v>
      </c>
    </row>
    <row r="132" spans="1:30" x14ac:dyDescent="0.3">
      <c r="A132" s="2" t="s">
        <v>271</v>
      </c>
      <c r="B132" s="2" t="s">
        <v>158</v>
      </c>
      <c r="C132" s="2" t="s">
        <v>320</v>
      </c>
      <c r="D132" s="2" t="s">
        <v>317</v>
      </c>
      <c r="E132" s="2" t="s">
        <v>317</v>
      </c>
      <c r="F132" s="2" t="s">
        <v>317</v>
      </c>
      <c r="G132" s="2" t="s">
        <v>319</v>
      </c>
      <c r="H132" s="2" t="s">
        <v>320</v>
      </c>
      <c r="I132" s="2" t="s">
        <v>317</v>
      </c>
      <c r="J132" s="2" t="s">
        <v>317</v>
      </c>
      <c r="K132" s="2" t="s">
        <v>317</v>
      </c>
      <c r="L132" s="2" t="s">
        <v>317</v>
      </c>
      <c r="M132" s="2" t="s">
        <v>317</v>
      </c>
      <c r="N132" s="2" t="s">
        <v>317</v>
      </c>
      <c r="O132" s="2" t="s">
        <v>317</v>
      </c>
      <c r="P132" s="2" t="s">
        <v>319</v>
      </c>
      <c r="Q132" s="2" t="s">
        <v>320</v>
      </c>
      <c r="R132" s="2" t="s">
        <v>317</v>
      </c>
      <c r="S132" s="2" t="s">
        <v>317</v>
      </c>
      <c r="T132" s="2" t="s">
        <v>317</v>
      </c>
      <c r="U132" s="2" t="s">
        <v>317</v>
      </c>
      <c r="V132" s="2" t="s">
        <v>317</v>
      </c>
      <c r="W132" s="2" t="s">
        <v>317</v>
      </c>
      <c r="X132" s="2" t="s">
        <v>317</v>
      </c>
      <c r="Y132" s="2" t="s">
        <v>317</v>
      </c>
      <c r="Z132" s="2" t="s">
        <v>317</v>
      </c>
      <c r="AA132" s="2" t="s">
        <v>317</v>
      </c>
      <c r="AB132" s="2" t="s">
        <v>318</v>
      </c>
      <c r="AC132" s="2" t="s">
        <v>317</v>
      </c>
      <c r="AD132" s="2" t="s">
        <v>317</v>
      </c>
    </row>
    <row r="133" spans="1:30" x14ac:dyDescent="0.3">
      <c r="A133" s="2" t="s">
        <v>272</v>
      </c>
      <c r="B133" s="2" t="s">
        <v>176</v>
      </c>
      <c r="C133" s="2" t="s">
        <v>317</v>
      </c>
      <c r="D133" s="2" t="s">
        <v>318</v>
      </c>
      <c r="E133" s="2" t="s">
        <v>317</v>
      </c>
      <c r="F133" s="2" t="s">
        <v>320</v>
      </c>
      <c r="G133" s="2" t="s">
        <v>317</v>
      </c>
      <c r="H133" s="2" t="s">
        <v>317</v>
      </c>
      <c r="I133" s="2" t="s">
        <v>317</v>
      </c>
      <c r="J133" s="2" t="s">
        <v>317</v>
      </c>
      <c r="K133" s="2" t="s">
        <v>319</v>
      </c>
      <c r="L133" s="2" t="s">
        <v>317</v>
      </c>
      <c r="M133" s="2" t="s">
        <v>317</v>
      </c>
      <c r="N133" s="2" t="s">
        <v>317</v>
      </c>
      <c r="O133" s="2" t="s">
        <v>317</v>
      </c>
      <c r="P133" s="2" t="s">
        <v>317</v>
      </c>
      <c r="Q133" s="2" t="s">
        <v>317</v>
      </c>
      <c r="R133" s="2" t="s">
        <v>317</v>
      </c>
      <c r="S133" s="2" t="s">
        <v>317</v>
      </c>
      <c r="T133" s="2" t="s">
        <v>317</v>
      </c>
      <c r="U133" s="2" t="s">
        <v>317</v>
      </c>
      <c r="V133" s="2" t="s">
        <v>317</v>
      </c>
      <c r="W133" s="2" t="s">
        <v>317</v>
      </c>
      <c r="X133" s="2" t="s">
        <v>317</v>
      </c>
      <c r="Y133" s="2" t="s">
        <v>317</v>
      </c>
      <c r="Z133" s="2" t="s">
        <v>317</v>
      </c>
      <c r="AA133" s="2" t="s">
        <v>317</v>
      </c>
      <c r="AB133" s="2" t="s">
        <v>317</v>
      </c>
      <c r="AC133" s="2" t="s">
        <v>317</v>
      </c>
      <c r="AD133" s="2" t="s">
        <v>317</v>
      </c>
    </row>
    <row r="134" spans="1:30" x14ac:dyDescent="0.3">
      <c r="A134" s="2" t="s">
        <v>273</v>
      </c>
      <c r="B134" s="2" t="s">
        <v>274</v>
      </c>
      <c r="C134" s="2" t="s">
        <v>317</v>
      </c>
      <c r="D134" s="2" t="s">
        <v>317</v>
      </c>
      <c r="E134" s="2" t="s">
        <v>318</v>
      </c>
      <c r="F134" s="2" t="s">
        <v>317</v>
      </c>
      <c r="G134" s="2" t="s">
        <v>317</v>
      </c>
      <c r="H134" s="2" t="s">
        <v>317</v>
      </c>
      <c r="I134" s="2" t="s">
        <v>317</v>
      </c>
      <c r="J134" s="2" t="s">
        <v>317</v>
      </c>
      <c r="K134" s="2" t="s">
        <v>317</v>
      </c>
      <c r="L134" s="2" t="s">
        <v>317</v>
      </c>
      <c r="M134" s="2" t="s">
        <v>317</v>
      </c>
      <c r="N134" s="2" t="s">
        <v>317</v>
      </c>
      <c r="O134" s="2" t="s">
        <v>317</v>
      </c>
      <c r="P134" s="2" t="s">
        <v>317</v>
      </c>
      <c r="Q134" s="2" t="s">
        <v>317</v>
      </c>
      <c r="R134" s="2" t="s">
        <v>317</v>
      </c>
      <c r="S134" s="2" t="s">
        <v>317</v>
      </c>
      <c r="T134" s="2" t="s">
        <v>317</v>
      </c>
      <c r="U134" s="2" t="s">
        <v>317</v>
      </c>
      <c r="V134" s="2" t="s">
        <v>317</v>
      </c>
      <c r="W134" s="2" t="s">
        <v>317</v>
      </c>
      <c r="X134" s="2" t="s">
        <v>317</v>
      </c>
      <c r="Y134" s="2" t="s">
        <v>317</v>
      </c>
      <c r="Z134" s="2" t="s">
        <v>317</v>
      </c>
      <c r="AA134" s="2" t="s">
        <v>319</v>
      </c>
      <c r="AB134" s="2" t="s">
        <v>318</v>
      </c>
      <c r="AC134" s="2" t="s">
        <v>317</v>
      </c>
      <c r="AD134" s="2" t="s">
        <v>317</v>
      </c>
    </row>
    <row r="135" spans="1:30" x14ac:dyDescent="0.3">
      <c r="A135" s="2" t="s">
        <v>275</v>
      </c>
      <c r="B135" s="2" t="s">
        <v>276</v>
      </c>
      <c r="C135" s="2" t="s">
        <v>320</v>
      </c>
      <c r="D135" s="2" t="s">
        <v>317</v>
      </c>
      <c r="E135" s="2" t="s">
        <v>317</v>
      </c>
      <c r="F135" s="2" t="s">
        <v>317</v>
      </c>
      <c r="G135" s="2" t="s">
        <v>317</v>
      </c>
      <c r="H135" s="2" t="s">
        <v>317</v>
      </c>
      <c r="I135" s="2" t="s">
        <v>317</v>
      </c>
      <c r="J135" s="2" t="s">
        <v>317</v>
      </c>
      <c r="K135" s="2" t="s">
        <v>319</v>
      </c>
      <c r="L135" s="2" t="s">
        <v>317</v>
      </c>
      <c r="M135" s="2" t="s">
        <v>317</v>
      </c>
      <c r="N135" s="2" t="s">
        <v>317</v>
      </c>
      <c r="O135" s="2" t="s">
        <v>317</v>
      </c>
      <c r="P135" s="2" t="s">
        <v>317</v>
      </c>
      <c r="Q135" s="2" t="s">
        <v>317</v>
      </c>
      <c r="R135" s="2" t="s">
        <v>319</v>
      </c>
      <c r="S135" s="2" t="s">
        <v>320</v>
      </c>
      <c r="T135" s="2" t="s">
        <v>317</v>
      </c>
      <c r="U135" s="2" t="s">
        <v>317</v>
      </c>
      <c r="V135" s="2" t="s">
        <v>317</v>
      </c>
      <c r="W135" s="2" t="s">
        <v>317</v>
      </c>
      <c r="X135" s="2" t="s">
        <v>318</v>
      </c>
      <c r="Y135" s="2" t="s">
        <v>317</v>
      </c>
      <c r="Z135" s="2" t="s">
        <v>317</v>
      </c>
      <c r="AA135" s="2" t="s">
        <v>317</v>
      </c>
      <c r="AB135" s="2" t="s">
        <v>317</v>
      </c>
      <c r="AC135" s="2" t="s">
        <v>317</v>
      </c>
      <c r="AD135" s="2" t="s">
        <v>318</v>
      </c>
    </row>
    <row r="136" spans="1:30" x14ac:dyDescent="0.3">
      <c r="A136" s="2" t="s">
        <v>277</v>
      </c>
      <c r="B136" s="2" t="s">
        <v>278</v>
      </c>
      <c r="C136" s="2" t="s">
        <v>317</v>
      </c>
      <c r="D136" s="2" t="s">
        <v>317</v>
      </c>
      <c r="E136" s="2" t="s">
        <v>317</v>
      </c>
      <c r="F136" s="2" t="s">
        <v>317</v>
      </c>
      <c r="G136" s="2" t="s">
        <v>317</v>
      </c>
      <c r="H136" s="2" t="s">
        <v>319</v>
      </c>
      <c r="I136" s="2" t="s">
        <v>317</v>
      </c>
      <c r="J136" s="2" t="s">
        <v>317</v>
      </c>
      <c r="K136" s="2" t="s">
        <v>317</v>
      </c>
      <c r="L136" s="2" t="s">
        <v>320</v>
      </c>
      <c r="M136" s="2" t="s">
        <v>317</v>
      </c>
      <c r="N136" s="2" t="s">
        <v>317</v>
      </c>
      <c r="O136" s="2" t="s">
        <v>317</v>
      </c>
      <c r="P136" s="2" t="s">
        <v>317</v>
      </c>
      <c r="Q136" s="2" t="s">
        <v>317</v>
      </c>
      <c r="R136" s="2" t="s">
        <v>317</v>
      </c>
      <c r="S136" s="2" t="s">
        <v>317</v>
      </c>
      <c r="T136" s="2" t="s">
        <v>317</v>
      </c>
      <c r="U136" s="2" t="s">
        <v>317</v>
      </c>
      <c r="V136" s="2" t="s">
        <v>317</v>
      </c>
      <c r="W136" s="2" t="s">
        <v>317</v>
      </c>
      <c r="X136" s="2" t="s">
        <v>320</v>
      </c>
      <c r="Y136" s="2" t="s">
        <v>317</v>
      </c>
      <c r="Z136" s="2" t="s">
        <v>317</v>
      </c>
      <c r="AA136" s="2" t="s">
        <v>317</v>
      </c>
      <c r="AB136" s="2" t="s">
        <v>317</v>
      </c>
      <c r="AC136" s="2" t="s">
        <v>317</v>
      </c>
      <c r="AD136" s="2" t="s">
        <v>317</v>
      </c>
    </row>
    <row r="137" spans="1:30" x14ac:dyDescent="0.3">
      <c r="A137" s="2" t="s">
        <v>279</v>
      </c>
      <c r="B137" s="2" t="s">
        <v>280</v>
      </c>
      <c r="C137" s="2" t="s">
        <v>319</v>
      </c>
      <c r="D137" s="2" t="s">
        <v>317</v>
      </c>
      <c r="E137" s="2" t="s">
        <v>320</v>
      </c>
      <c r="F137" s="2" t="s">
        <v>317</v>
      </c>
      <c r="G137" s="2" t="s">
        <v>317</v>
      </c>
      <c r="H137" s="2" t="s">
        <v>317</v>
      </c>
      <c r="I137" s="2" t="s">
        <v>317</v>
      </c>
      <c r="J137" s="2" t="s">
        <v>317</v>
      </c>
      <c r="K137" s="2" t="s">
        <v>317</v>
      </c>
      <c r="L137" s="2" t="s">
        <v>317</v>
      </c>
      <c r="M137" s="2" t="s">
        <v>317</v>
      </c>
      <c r="N137" s="2" t="s">
        <v>317</v>
      </c>
      <c r="O137" s="2" t="s">
        <v>317</v>
      </c>
      <c r="P137" s="2" t="s">
        <v>317</v>
      </c>
      <c r="Q137" s="2" t="s">
        <v>317</v>
      </c>
      <c r="R137" s="2" t="s">
        <v>319</v>
      </c>
      <c r="S137" s="2" t="s">
        <v>317</v>
      </c>
      <c r="T137" s="2" t="s">
        <v>317</v>
      </c>
      <c r="U137" s="2" t="s">
        <v>317</v>
      </c>
      <c r="V137" s="2" t="s">
        <v>317</v>
      </c>
      <c r="W137" s="2" t="s">
        <v>317</v>
      </c>
      <c r="X137" s="2" t="s">
        <v>317</v>
      </c>
      <c r="Y137" s="2" t="s">
        <v>317</v>
      </c>
      <c r="Z137" s="2" t="s">
        <v>319</v>
      </c>
      <c r="AA137" s="2" t="s">
        <v>317</v>
      </c>
      <c r="AB137" s="2" t="s">
        <v>317</v>
      </c>
      <c r="AC137" s="2" t="s">
        <v>317</v>
      </c>
      <c r="AD137" s="2" t="s">
        <v>317</v>
      </c>
    </row>
    <row r="138" spans="1:30" x14ac:dyDescent="0.3">
      <c r="A138" s="2" t="s">
        <v>281</v>
      </c>
      <c r="B138" s="2" t="s">
        <v>122</v>
      </c>
      <c r="C138" s="2" t="s">
        <v>317</v>
      </c>
      <c r="D138" s="2" t="s">
        <v>317</v>
      </c>
      <c r="E138" s="2" t="s">
        <v>317</v>
      </c>
      <c r="F138" s="2" t="s">
        <v>317</v>
      </c>
      <c r="G138" s="2" t="s">
        <v>317</v>
      </c>
      <c r="H138" s="2" t="s">
        <v>317</v>
      </c>
      <c r="I138" s="2" t="s">
        <v>320</v>
      </c>
      <c r="J138" s="2" t="s">
        <v>319</v>
      </c>
      <c r="K138" s="2" t="s">
        <v>317</v>
      </c>
      <c r="L138" s="2" t="s">
        <v>317</v>
      </c>
      <c r="M138" s="2" t="s">
        <v>317</v>
      </c>
      <c r="N138" s="2" t="s">
        <v>317</v>
      </c>
      <c r="O138" s="2" t="s">
        <v>317</v>
      </c>
      <c r="P138" s="2" t="s">
        <v>317</v>
      </c>
      <c r="Q138" s="2" t="s">
        <v>317</v>
      </c>
      <c r="R138" s="2" t="s">
        <v>317</v>
      </c>
      <c r="S138" s="2" t="s">
        <v>317</v>
      </c>
      <c r="T138" s="2" t="s">
        <v>317</v>
      </c>
      <c r="U138" s="2" t="s">
        <v>317</v>
      </c>
      <c r="V138" s="2" t="s">
        <v>317</v>
      </c>
      <c r="W138" s="2" t="s">
        <v>317</v>
      </c>
      <c r="X138" s="2" t="s">
        <v>317</v>
      </c>
      <c r="Y138" s="2" t="s">
        <v>317</v>
      </c>
      <c r="Z138" s="2" t="s">
        <v>317</v>
      </c>
      <c r="AA138" s="2" t="s">
        <v>317</v>
      </c>
      <c r="AB138" s="2" t="s">
        <v>317</v>
      </c>
      <c r="AC138" s="2" t="s">
        <v>320</v>
      </c>
      <c r="AD138" s="2" t="s">
        <v>320</v>
      </c>
    </row>
    <row r="139" spans="1:30" x14ac:dyDescent="0.3">
      <c r="A139" s="2" t="s">
        <v>282</v>
      </c>
      <c r="B139" s="2" t="s">
        <v>283</v>
      </c>
      <c r="C139" s="2" t="s">
        <v>319</v>
      </c>
      <c r="D139" s="2" t="s">
        <v>317</v>
      </c>
      <c r="E139" s="2" t="s">
        <v>317</v>
      </c>
      <c r="F139" s="2" t="s">
        <v>318</v>
      </c>
      <c r="G139" s="2" t="s">
        <v>317</v>
      </c>
      <c r="H139" s="2" t="s">
        <v>317</v>
      </c>
      <c r="I139" s="2" t="s">
        <v>317</v>
      </c>
      <c r="J139" s="2" t="s">
        <v>317</v>
      </c>
      <c r="K139" s="2" t="s">
        <v>317</v>
      </c>
      <c r="L139" s="2" t="s">
        <v>317</v>
      </c>
      <c r="M139" s="2" t="s">
        <v>317</v>
      </c>
      <c r="N139" s="2" t="s">
        <v>317</v>
      </c>
      <c r="O139" s="2" t="s">
        <v>317</v>
      </c>
      <c r="P139" s="2" t="s">
        <v>317</v>
      </c>
      <c r="Q139" s="2" t="s">
        <v>317</v>
      </c>
      <c r="R139" s="2" t="s">
        <v>317</v>
      </c>
      <c r="S139" s="2" t="s">
        <v>317</v>
      </c>
      <c r="T139" s="2" t="s">
        <v>317</v>
      </c>
      <c r="U139" s="2" t="s">
        <v>317</v>
      </c>
      <c r="V139" s="2" t="s">
        <v>317</v>
      </c>
      <c r="W139" s="2" t="s">
        <v>317</v>
      </c>
      <c r="X139" s="2" t="s">
        <v>317</v>
      </c>
      <c r="Y139" s="2" t="s">
        <v>317</v>
      </c>
      <c r="Z139" s="2" t="s">
        <v>320</v>
      </c>
      <c r="AA139" s="2" t="s">
        <v>318</v>
      </c>
      <c r="AB139" s="2" t="s">
        <v>317</v>
      </c>
      <c r="AC139" s="2" t="s">
        <v>317</v>
      </c>
      <c r="AD139" s="2" t="s">
        <v>318</v>
      </c>
    </row>
    <row r="140" spans="1:30" x14ac:dyDescent="0.3">
      <c r="A140" s="2" t="s">
        <v>284</v>
      </c>
      <c r="B140" s="2" t="s">
        <v>285</v>
      </c>
      <c r="C140" s="2" t="s">
        <v>320</v>
      </c>
      <c r="D140" s="2" t="s">
        <v>317</v>
      </c>
      <c r="E140" s="2" t="s">
        <v>318</v>
      </c>
      <c r="F140" s="2" t="s">
        <v>318</v>
      </c>
      <c r="G140" s="2" t="s">
        <v>317</v>
      </c>
      <c r="H140" s="2" t="s">
        <v>320</v>
      </c>
      <c r="I140" s="2" t="s">
        <v>317</v>
      </c>
      <c r="J140" s="2" t="s">
        <v>317</v>
      </c>
      <c r="K140" s="2" t="s">
        <v>317</v>
      </c>
      <c r="L140" s="2" t="s">
        <v>317</v>
      </c>
      <c r="M140" s="2" t="s">
        <v>317</v>
      </c>
      <c r="N140" s="2" t="s">
        <v>317</v>
      </c>
      <c r="O140" s="2" t="s">
        <v>317</v>
      </c>
      <c r="P140" s="2" t="s">
        <v>317</v>
      </c>
      <c r="Q140" s="2" t="s">
        <v>317</v>
      </c>
      <c r="R140" s="2" t="s">
        <v>317</v>
      </c>
      <c r="S140" s="2" t="s">
        <v>317</v>
      </c>
      <c r="T140" s="2" t="s">
        <v>317</v>
      </c>
      <c r="U140" s="2" t="s">
        <v>317</v>
      </c>
      <c r="V140" s="2" t="s">
        <v>317</v>
      </c>
      <c r="W140" s="2" t="s">
        <v>319</v>
      </c>
      <c r="X140" s="2" t="s">
        <v>317</v>
      </c>
      <c r="Y140" s="2" t="s">
        <v>317</v>
      </c>
      <c r="Z140" s="2" t="s">
        <v>317</v>
      </c>
      <c r="AA140" s="2" t="s">
        <v>317</v>
      </c>
      <c r="AB140" s="2" t="s">
        <v>317</v>
      </c>
      <c r="AC140" s="2" t="s">
        <v>317</v>
      </c>
      <c r="AD140" s="2" t="s">
        <v>318</v>
      </c>
    </row>
    <row r="141" spans="1:30" x14ac:dyDescent="0.3">
      <c r="A141" s="2" t="s">
        <v>286</v>
      </c>
      <c r="B141" s="2" t="s">
        <v>287</v>
      </c>
      <c r="C141" s="2" t="s">
        <v>317</v>
      </c>
      <c r="D141" s="2" t="s">
        <v>317</v>
      </c>
      <c r="E141" s="2" t="s">
        <v>317</v>
      </c>
      <c r="F141" s="2" t="s">
        <v>317</v>
      </c>
      <c r="G141" s="2" t="s">
        <v>320</v>
      </c>
      <c r="H141" s="2" t="s">
        <v>318</v>
      </c>
      <c r="I141" s="2" t="s">
        <v>320</v>
      </c>
      <c r="J141" s="2" t="s">
        <v>319</v>
      </c>
      <c r="K141" s="2" t="s">
        <v>317</v>
      </c>
      <c r="L141" s="2" t="s">
        <v>317</v>
      </c>
      <c r="M141" s="2" t="s">
        <v>317</v>
      </c>
      <c r="N141" s="2" t="s">
        <v>317</v>
      </c>
      <c r="O141" s="2" t="s">
        <v>317</v>
      </c>
      <c r="P141" s="2" t="s">
        <v>317</v>
      </c>
      <c r="Q141" s="2" t="s">
        <v>319</v>
      </c>
      <c r="R141" s="2" t="s">
        <v>317</v>
      </c>
      <c r="S141" s="2" t="s">
        <v>317</v>
      </c>
      <c r="T141" s="2" t="s">
        <v>318</v>
      </c>
      <c r="U141" s="2" t="s">
        <v>317</v>
      </c>
      <c r="V141" s="2" t="s">
        <v>317</v>
      </c>
      <c r="W141" s="2" t="s">
        <v>317</v>
      </c>
      <c r="X141" s="2" t="s">
        <v>317</v>
      </c>
      <c r="Y141" s="2" t="s">
        <v>317</v>
      </c>
      <c r="Z141" s="2" t="s">
        <v>317</v>
      </c>
      <c r="AA141" s="2" t="s">
        <v>317</v>
      </c>
      <c r="AB141" s="2" t="s">
        <v>317</v>
      </c>
      <c r="AC141" s="2" t="s">
        <v>317</v>
      </c>
      <c r="AD141" s="2" t="s">
        <v>317</v>
      </c>
    </row>
    <row r="142" spans="1:30" x14ac:dyDescent="0.3">
      <c r="A142" s="2" t="s">
        <v>288</v>
      </c>
      <c r="B142" s="2" t="s">
        <v>289</v>
      </c>
      <c r="C142" s="2" t="s">
        <v>317</v>
      </c>
      <c r="D142" s="2" t="s">
        <v>317</v>
      </c>
      <c r="E142" s="2" t="s">
        <v>317</v>
      </c>
      <c r="F142" s="2" t="s">
        <v>318</v>
      </c>
      <c r="G142" s="2" t="s">
        <v>317</v>
      </c>
      <c r="H142" s="2" t="s">
        <v>317</v>
      </c>
      <c r="I142" s="2" t="s">
        <v>317</v>
      </c>
      <c r="J142" s="2" t="s">
        <v>317</v>
      </c>
      <c r="K142" s="2" t="s">
        <v>317</v>
      </c>
      <c r="L142" s="2" t="s">
        <v>317</v>
      </c>
      <c r="M142" s="2" t="s">
        <v>318</v>
      </c>
      <c r="N142" s="2" t="s">
        <v>317</v>
      </c>
      <c r="O142" s="2" t="s">
        <v>317</v>
      </c>
      <c r="P142" s="2" t="s">
        <v>317</v>
      </c>
      <c r="Q142" s="2" t="s">
        <v>317</v>
      </c>
      <c r="R142" s="2" t="s">
        <v>317</v>
      </c>
      <c r="S142" s="2" t="s">
        <v>317</v>
      </c>
      <c r="T142" s="2" t="s">
        <v>317</v>
      </c>
      <c r="U142" s="2" t="s">
        <v>320</v>
      </c>
      <c r="V142" s="2" t="s">
        <v>317</v>
      </c>
      <c r="W142" s="2" t="s">
        <v>317</v>
      </c>
      <c r="X142" s="2" t="s">
        <v>317</v>
      </c>
      <c r="Y142" s="2" t="s">
        <v>317</v>
      </c>
      <c r="Z142" s="2" t="s">
        <v>317</v>
      </c>
      <c r="AA142" s="2" t="s">
        <v>317</v>
      </c>
      <c r="AB142" s="2" t="s">
        <v>320</v>
      </c>
      <c r="AC142" s="2" t="s">
        <v>317</v>
      </c>
      <c r="AD142" s="2" t="s">
        <v>317</v>
      </c>
    </row>
    <row r="143" spans="1:30" x14ac:dyDescent="0.3">
      <c r="A143" s="2" t="s">
        <v>290</v>
      </c>
      <c r="B143" s="2" t="s">
        <v>291</v>
      </c>
      <c r="C143" s="2" t="s">
        <v>317</v>
      </c>
      <c r="D143" s="2" t="s">
        <v>317</v>
      </c>
      <c r="E143" s="2" t="s">
        <v>320</v>
      </c>
      <c r="F143" s="2" t="s">
        <v>317</v>
      </c>
      <c r="G143" s="2" t="s">
        <v>317</v>
      </c>
      <c r="H143" s="2" t="s">
        <v>317</v>
      </c>
      <c r="I143" s="2" t="s">
        <v>317</v>
      </c>
      <c r="J143" s="2" t="s">
        <v>317</v>
      </c>
      <c r="K143" s="2" t="s">
        <v>319</v>
      </c>
      <c r="L143" s="2" t="s">
        <v>317</v>
      </c>
      <c r="M143" s="2" t="s">
        <v>317</v>
      </c>
      <c r="N143" s="2" t="s">
        <v>317</v>
      </c>
      <c r="O143" s="2" t="s">
        <v>317</v>
      </c>
      <c r="P143" s="2" t="s">
        <v>317</v>
      </c>
      <c r="Q143" s="2" t="s">
        <v>317</v>
      </c>
      <c r="R143" s="2" t="s">
        <v>317</v>
      </c>
      <c r="S143" s="2" t="s">
        <v>317</v>
      </c>
      <c r="T143" s="2" t="s">
        <v>317</v>
      </c>
      <c r="U143" s="2" t="s">
        <v>319</v>
      </c>
      <c r="V143" s="2" t="s">
        <v>317</v>
      </c>
      <c r="W143" s="2" t="s">
        <v>317</v>
      </c>
      <c r="X143" s="2" t="s">
        <v>317</v>
      </c>
      <c r="Y143" s="2" t="s">
        <v>317</v>
      </c>
      <c r="Z143" s="2" t="s">
        <v>318</v>
      </c>
      <c r="AA143" s="2" t="s">
        <v>317</v>
      </c>
      <c r="AB143" s="2" t="s">
        <v>317</v>
      </c>
      <c r="AC143" s="2" t="s">
        <v>317</v>
      </c>
      <c r="AD143" s="2" t="s">
        <v>317</v>
      </c>
    </row>
    <row r="144" spans="1:30" x14ac:dyDescent="0.3">
      <c r="A144" s="2" t="s">
        <v>292</v>
      </c>
      <c r="B144" s="2" t="s">
        <v>135</v>
      </c>
      <c r="C144" s="2" t="s">
        <v>317</v>
      </c>
      <c r="D144" s="2" t="s">
        <v>318</v>
      </c>
      <c r="E144" s="2" t="s">
        <v>317</v>
      </c>
      <c r="F144" s="2" t="s">
        <v>317</v>
      </c>
      <c r="G144" s="2" t="s">
        <v>319</v>
      </c>
      <c r="H144" s="2" t="s">
        <v>317</v>
      </c>
      <c r="I144" s="2" t="s">
        <v>317</v>
      </c>
      <c r="J144" s="2" t="s">
        <v>317</v>
      </c>
      <c r="K144" s="2" t="s">
        <v>317</v>
      </c>
      <c r="L144" s="2" t="s">
        <v>319</v>
      </c>
      <c r="M144" s="2" t="s">
        <v>317</v>
      </c>
      <c r="N144" s="2" t="s">
        <v>317</v>
      </c>
      <c r="O144" s="2" t="s">
        <v>317</v>
      </c>
      <c r="P144" s="2" t="s">
        <v>317</v>
      </c>
      <c r="Q144" s="2" t="s">
        <v>317</v>
      </c>
      <c r="R144" s="2" t="s">
        <v>317</v>
      </c>
      <c r="S144" s="2" t="s">
        <v>319</v>
      </c>
      <c r="T144" s="2" t="s">
        <v>317</v>
      </c>
      <c r="U144" s="2" t="s">
        <v>319</v>
      </c>
      <c r="V144" s="2" t="s">
        <v>319</v>
      </c>
      <c r="W144" s="2" t="s">
        <v>317</v>
      </c>
      <c r="X144" s="2" t="s">
        <v>317</v>
      </c>
      <c r="Y144" s="2" t="s">
        <v>317</v>
      </c>
      <c r="Z144" s="2" t="s">
        <v>317</v>
      </c>
      <c r="AA144" s="2" t="s">
        <v>317</v>
      </c>
      <c r="AB144" s="2" t="s">
        <v>317</v>
      </c>
      <c r="AC144" s="2" t="s">
        <v>317</v>
      </c>
      <c r="AD144" s="2" t="s">
        <v>320</v>
      </c>
    </row>
    <row r="145" spans="1:30" x14ac:dyDescent="0.3">
      <c r="A145" s="2" t="s">
        <v>293</v>
      </c>
      <c r="B145" s="2" t="s">
        <v>120</v>
      </c>
      <c r="C145" s="2" t="s">
        <v>317</v>
      </c>
      <c r="D145" s="2" t="s">
        <v>317</v>
      </c>
      <c r="E145" s="2" t="s">
        <v>317</v>
      </c>
      <c r="F145" s="2" t="s">
        <v>320</v>
      </c>
      <c r="G145" s="2" t="s">
        <v>317</v>
      </c>
      <c r="H145" s="2" t="s">
        <v>317</v>
      </c>
      <c r="I145" s="2" t="s">
        <v>317</v>
      </c>
      <c r="J145" s="2" t="s">
        <v>317</v>
      </c>
      <c r="K145" s="2" t="s">
        <v>317</v>
      </c>
      <c r="L145" s="2" t="s">
        <v>317</v>
      </c>
      <c r="M145" s="2" t="s">
        <v>317</v>
      </c>
      <c r="N145" s="2" t="s">
        <v>317</v>
      </c>
      <c r="O145" s="2" t="s">
        <v>317</v>
      </c>
      <c r="P145" s="2" t="s">
        <v>317</v>
      </c>
      <c r="Q145" s="2" t="s">
        <v>317</v>
      </c>
      <c r="R145" s="2" t="s">
        <v>317</v>
      </c>
      <c r="S145" s="2" t="s">
        <v>320</v>
      </c>
      <c r="T145" s="2" t="s">
        <v>317</v>
      </c>
      <c r="U145" s="2" t="s">
        <v>320</v>
      </c>
      <c r="V145" s="2" t="s">
        <v>317</v>
      </c>
      <c r="W145" s="2" t="s">
        <v>317</v>
      </c>
      <c r="X145" s="2" t="s">
        <v>317</v>
      </c>
      <c r="Y145" s="2" t="s">
        <v>317</v>
      </c>
      <c r="Z145" s="2" t="s">
        <v>318</v>
      </c>
      <c r="AA145" s="2" t="s">
        <v>319</v>
      </c>
      <c r="AB145" s="2" t="s">
        <v>317</v>
      </c>
      <c r="AC145" s="2" t="s">
        <v>317</v>
      </c>
      <c r="AD145" s="2" t="s">
        <v>317</v>
      </c>
    </row>
    <row r="146" spans="1:30" x14ac:dyDescent="0.3">
      <c r="A146" s="2" t="s">
        <v>294</v>
      </c>
      <c r="B146" s="2" t="s">
        <v>247</v>
      </c>
      <c r="C146" s="2" t="s">
        <v>317</v>
      </c>
      <c r="D146" s="2" t="s">
        <v>317</v>
      </c>
      <c r="E146" s="2" t="s">
        <v>317</v>
      </c>
      <c r="F146" s="2" t="s">
        <v>317</v>
      </c>
      <c r="G146" s="2" t="s">
        <v>317</v>
      </c>
      <c r="H146" s="2" t="s">
        <v>317</v>
      </c>
      <c r="I146" s="2" t="s">
        <v>319</v>
      </c>
      <c r="J146" s="2" t="s">
        <v>317</v>
      </c>
      <c r="K146" s="2" t="s">
        <v>317</v>
      </c>
      <c r="L146" s="2" t="s">
        <v>318</v>
      </c>
      <c r="M146" s="2" t="s">
        <v>319</v>
      </c>
      <c r="N146" s="2" t="s">
        <v>317</v>
      </c>
      <c r="O146" s="2" t="s">
        <v>317</v>
      </c>
      <c r="P146" s="2" t="s">
        <v>317</v>
      </c>
      <c r="Q146" s="2" t="s">
        <v>317</v>
      </c>
      <c r="R146" s="2" t="s">
        <v>317</v>
      </c>
      <c r="S146" s="2" t="s">
        <v>319</v>
      </c>
      <c r="T146" s="2" t="s">
        <v>317</v>
      </c>
      <c r="U146" s="2" t="s">
        <v>317</v>
      </c>
      <c r="V146" s="2" t="s">
        <v>317</v>
      </c>
      <c r="W146" s="2" t="s">
        <v>317</v>
      </c>
      <c r="X146" s="2" t="s">
        <v>317</v>
      </c>
      <c r="Y146" s="2" t="s">
        <v>317</v>
      </c>
      <c r="Z146" s="2" t="s">
        <v>317</v>
      </c>
      <c r="AA146" s="2" t="s">
        <v>317</v>
      </c>
      <c r="AB146" s="2" t="s">
        <v>317</v>
      </c>
      <c r="AC146" s="2" t="s">
        <v>317</v>
      </c>
      <c r="AD146" s="2" t="s">
        <v>317</v>
      </c>
    </row>
    <row r="147" spans="1:30" x14ac:dyDescent="0.3">
      <c r="A147" s="2" t="s">
        <v>295</v>
      </c>
      <c r="B147" s="2" t="s">
        <v>83</v>
      </c>
      <c r="C147" s="2" t="s">
        <v>317</v>
      </c>
      <c r="D147" s="2" t="s">
        <v>318</v>
      </c>
      <c r="E147" s="2" t="s">
        <v>317</v>
      </c>
      <c r="F147" s="2" t="s">
        <v>317</v>
      </c>
      <c r="G147" s="2" t="s">
        <v>317</v>
      </c>
      <c r="H147" s="2" t="s">
        <v>317</v>
      </c>
      <c r="I147" s="2" t="s">
        <v>317</v>
      </c>
      <c r="J147" s="2" t="s">
        <v>317</v>
      </c>
      <c r="K147" s="2" t="s">
        <v>317</v>
      </c>
      <c r="L147" s="2" t="s">
        <v>317</v>
      </c>
      <c r="M147" s="2" t="s">
        <v>317</v>
      </c>
      <c r="N147" s="2" t="s">
        <v>317</v>
      </c>
      <c r="O147" s="2" t="s">
        <v>317</v>
      </c>
      <c r="P147" s="2" t="s">
        <v>319</v>
      </c>
      <c r="Q147" s="2" t="s">
        <v>317</v>
      </c>
      <c r="R147" s="2" t="s">
        <v>317</v>
      </c>
      <c r="S147" s="2" t="s">
        <v>317</v>
      </c>
      <c r="T147" s="2" t="s">
        <v>318</v>
      </c>
      <c r="U147" s="2" t="s">
        <v>317</v>
      </c>
      <c r="V147" s="2" t="s">
        <v>317</v>
      </c>
      <c r="W147" s="2" t="s">
        <v>317</v>
      </c>
      <c r="X147" s="2" t="s">
        <v>317</v>
      </c>
      <c r="Y147" s="2" t="s">
        <v>317</v>
      </c>
      <c r="Z147" s="2" t="s">
        <v>320</v>
      </c>
      <c r="AA147" s="2" t="s">
        <v>317</v>
      </c>
      <c r="AB147" s="2" t="s">
        <v>317</v>
      </c>
      <c r="AC147" s="2" t="s">
        <v>317</v>
      </c>
      <c r="AD147" s="2" t="s">
        <v>318</v>
      </c>
    </row>
    <row r="148" spans="1:30" x14ac:dyDescent="0.3">
      <c r="A148" s="2" t="s">
        <v>296</v>
      </c>
      <c r="B148" s="2" t="s">
        <v>276</v>
      </c>
      <c r="C148" s="2" t="s">
        <v>317</v>
      </c>
      <c r="D148" s="2" t="s">
        <v>317</v>
      </c>
      <c r="E148" s="2" t="s">
        <v>317</v>
      </c>
      <c r="F148" s="2" t="s">
        <v>318</v>
      </c>
      <c r="G148" s="2" t="s">
        <v>317</v>
      </c>
      <c r="H148" s="2" t="s">
        <v>318</v>
      </c>
      <c r="I148" s="2" t="s">
        <v>317</v>
      </c>
      <c r="J148" s="2" t="s">
        <v>317</v>
      </c>
      <c r="K148" s="2" t="s">
        <v>317</v>
      </c>
      <c r="L148" s="2" t="s">
        <v>319</v>
      </c>
      <c r="M148" s="2" t="s">
        <v>317</v>
      </c>
      <c r="N148" s="2" t="s">
        <v>319</v>
      </c>
      <c r="O148" s="2" t="s">
        <v>319</v>
      </c>
      <c r="P148" s="2" t="s">
        <v>317</v>
      </c>
      <c r="Q148" s="2" t="s">
        <v>317</v>
      </c>
      <c r="R148" s="2" t="s">
        <v>317</v>
      </c>
      <c r="S148" s="2" t="s">
        <v>317</v>
      </c>
      <c r="T148" s="2" t="s">
        <v>318</v>
      </c>
      <c r="U148" s="2" t="s">
        <v>317</v>
      </c>
      <c r="V148" s="2" t="s">
        <v>317</v>
      </c>
      <c r="W148" s="2" t="s">
        <v>317</v>
      </c>
      <c r="X148" s="2" t="s">
        <v>317</v>
      </c>
      <c r="Y148" s="2" t="s">
        <v>317</v>
      </c>
      <c r="Z148" s="2" t="s">
        <v>317</v>
      </c>
      <c r="AA148" s="2" t="s">
        <v>317</v>
      </c>
      <c r="AB148" s="2" t="s">
        <v>317</v>
      </c>
      <c r="AC148" s="2" t="s">
        <v>317</v>
      </c>
      <c r="AD148" s="2" t="s">
        <v>317</v>
      </c>
    </row>
    <row r="149" spans="1:30" x14ac:dyDescent="0.3">
      <c r="A149" s="2" t="s">
        <v>297</v>
      </c>
      <c r="B149" s="2" t="s">
        <v>276</v>
      </c>
      <c r="C149" s="2" t="s">
        <v>317</v>
      </c>
      <c r="D149" s="2" t="s">
        <v>317</v>
      </c>
      <c r="E149" s="2" t="s">
        <v>317</v>
      </c>
      <c r="F149" s="2" t="s">
        <v>317</v>
      </c>
      <c r="G149" s="2" t="s">
        <v>317</v>
      </c>
      <c r="H149" s="2" t="s">
        <v>318</v>
      </c>
      <c r="I149" s="2" t="s">
        <v>317</v>
      </c>
      <c r="J149" s="2" t="s">
        <v>317</v>
      </c>
      <c r="K149" s="2" t="s">
        <v>317</v>
      </c>
      <c r="L149" s="2" t="s">
        <v>317</v>
      </c>
      <c r="M149" s="2" t="s">
        <v>317</v>
      </c>
      <c r="N149" s="2" t="s">
        <v>317</v>
      </c>
      <c r="O149" s="2" t="s">
        <v>318</v>
      </c>
      <c r="P149" s="2" t="s">
        <v>317</v>
      </c>
      <c r="Q149" s="2" t="s">
        <v>317</v>
      </c>
      <c r="R149" s="2" t="s">
        <v>317</v>
      </c>
      <c r="S149" s="2" t="s">
        <v>317</v>
      </c>
      <c r="T149" s="2" t="s">
        <v>317</v>
      </c>
      <c r="U149" s="2" t="s">
        <v>317</v>
      </c>
      <c r="V149" s="2" t="s">
        <v>317</v>
      </c>
      <c r="W149" s="2" t="s">
        <v>317</v>
      </c>
      <c r="X149" s="2" t="s">
        <v>318</v>
      </c>
      <c r="Y149" s="2" t="s">
        <v>317</v>
      </c>
      <c r="Z149" s="2" t="s">
        <v>317</v>
      </c>
      <c r="AA149" s="2" t="s">
        <v>317</v>
      </c>
      <c r="AB149" s="2" t="s">
        <v>317</v>
      </c>
      <c r="AC149" s="2" t="s">
        <v>318</v>
      </c>
      <c r="AD149" s="2" t="s">
        <v>317</v>
      </c>
    </row>
    <row r="150" spans="1:30" x14ac:dyDescent="0.3">
      <c r="A150" s="2" t="s">
        <v>298</v>
      </c>
      <c r="B150" s="2" t="s">
        <v>299</v>
      </c>
      <c r="C150" s="2" t="s">
        <v>317</v>
      </c>
      <c r="D150" s="2" t="s">
        <v>317</v>
      </c>
      <c r="E150" s="2" t="s">
        <v>317</v>
      </c>
      <c r="F150" s="2" t="s">
        <v>317</v>
      </c>
      <c r="G150" s="2" t="s">
        <v>317</v>
      </c>
      <c r="H150" s="2" t="s">
        <v>317</v>
      </c>
      <c r="I150" s="2" t="s">
        <v>317</v>
      </c>
      <c r="J150" s="2" t="s">
        <v>317</v>
      </c>
      <c r="K150" s="2" t="s">
        <v>317</v>
      </c>
      <c r="L150" s="2" t="s">
        <v>318</v>
      </c>
      <c r="M150" s="2" t="s">
        <v>317</v>
      </c>
      <c r="N150" s="2" t="s">
        <v>318</v>
      </c>
      <c r="O150" s="2" t="s">
        <v>317</v>
      </c>
      <c r="P150" s="2" t="s">
        <v>317</v>
      </c>
      <c r="Q150" s="2" t="s">
        <v>317</v>
      </c>
      <c r="R150" s="2" t="s">
        <v>317</v>
      </c>
      <c r="S150" s="2" t="s">
        <v>317</v>
      </c>
      <c r="T150" s="2" t="s">
        <v>318</v>
      </c>
      <c r="U150" s="2" t="s">
        <v>317</v>
      </c>
      <c r="V150" s="2" t="s">
        <v>317</v>
      </c>
      <c r="W150" s="2" t="s">
        <v>319</v>
      </c>
      <c r="X150" s="2" t="s">
        <v>320</v>
      </c>
      <c r="Y150" s="2" t="s">
        <v>317</v>
      </c>
      <c r="Z150" s="2" t="s">
        <v>317</v>
      </c>
      <c r="AA150" s="2" t="s">
        <v>318</v>
      </c>
      <c r="AB150" s="2" t="s">
        <v>317</v>
      </c>
      <c r="AC150" s="2" t="s">
        <v>317</v>
      </c>
      <c r="AD150" s="2" t="s">
        <v>317</v>
      </c>
    </row>
    <row r="151" spans="1:30" x14ac:dyDescent="0.3">
      <c r="A151" s="2" t="s">
        <v>300</v>
      </c>
      <c r="B151" s="2" t="s">
        <v>301</v>
      </c>
      <c r="C151" s="2" t="s">
        <v>317</v>
      </c>
      <c r="D151" s="2" t="s">
        <v>317</v>
      </c>
      <c r="E151" s="2" t="s">
        <v>317</v>
      </c>
      <c r="F151" s="2" t="s">
        <v>319</v>
      </c>
      <c r="G151" s="2" t="s">
        <v>317</v>
      </c>
      <c r="H151" s="2" t="s">
        <v>317</v>
      </c>
      <c r="I151" s="2" t="s">
        <v>317</v>
      </c>
      <c r="J151" s="2" t="s">
        <v>318</v>
      </c>
      <c r="K151" s="2" t="s">
        <v>317</v>
      </c>
      <c r="L151" s="2" t="s">
        <v>317</v>
      </c>
      <c r="M151" s="2" t="s">
        <v>317</v>
      </c>
      <c r="N151" s="2" t="s">
        <v>317</v>
      </c>
      <c r="O151" s="2" t="s">
        <v>317</v>
      </c>
      <c r="P151" s="2" t="s">
        <v>317</v>
      </c>
      <c r="Q151" s="2" t="s">
        <v>317</v>
      </c>
      <c r="R151" s="2" t="s">
        <v>317</v>
      </c>
      <c r="S151" s="2" t="s">
        <v>317</v>
      </c>
      <c r="T151" s="2" t="s">
        <v>317</v>
      </c>
      <c r="U151" s="2" t="s">
        <v>317</v>
      </c>
      <c r="V151" s="2" t="s">
        <v>317</v>
      </c>
      <c r="W151" s="2" t="s">
        <v>317</v>
      </c>
      <c r="X151" s="2" t="s">
        <v>317</v>
      </c>
      <c r="Y151" s="2" t="s">
        <v>320</v>
      </c>
      <c r="Z151" s="2" t="s">
        <v>317</v>
      </c>
      <c r="AA151" s="2" t="s">
        <v>320</v>
      </c>
      <c r="AB151" s="2" t="s">
        <v>318</v>
      </c>
      <c r="AC151" s="2" t="s">
        <v>317</v>
      </c>
      <c r="AD151" s="2" t="s">
        <v>318</v>
      </c>
    </row>
    <row r="152" spans="1:30" x14ac:dyDescent="0.3">
      <c r="A152" s="2" t="s">
        <v>302</v>
      </c>
      <c r="B152" s="2" t="s">
        <v>255</v>
      </c>
      <c r="C152" s="2" t="s">
        <v>317</v>
      </c>
      <c r="D152" s="2" t="s">
        <v>317</v>
      </c>
      <c r="E152" s="2" t="s">
        <v>317</v>
      </c>
      <c r="F152" s="2" t="s">
        <v>319</v>
      </c>
      <c r="G152" s="2" t="s">
        <v>317</v>
      </c>
      <c r="H152" s="2" t="s">
        <v>317</v>
      </c>
      <c r="I152" s="2" t="s">
        <v>317</v>
      </c>
      <c r="J152" s="2" t="s">
        <v>317</v>
      </c>
      <c r="K152" s="2" t="s">
        <v>317</v>
      </c>
      <c r="L152" s="2" t="s">
        <v>317</v>
      </c>
      <c r="M152" s="2" t="s">
        <v>317</v>
      </c>
      <c r="N152" s="2" t="s">
        <v>317</v>
      </c>
      <c r="O152" s="2" t="s">
        <v>317</v>
      </c>
      <c r="P152" s="2" t="s">
        <v>317</v>
      </c>
      <c r="Q152" s="2" t="s">
        <v>318</v>
      </c>
      <c r="R152" s="2" t="s">
        <v>317</v>
      </c>
      <c r="S152" s="2" t="s">
        <v>317</v>
      </c>
      <c r="T152" s="2" t="s">
        <v>317</v>
      </c>
      <c r="U152" s="2" t="s">
        <v>317</v>
      </c>
      <c r="V152" s="2" t="s">
        <v>317</v>
      </c>
      <c r="W152" s="2" t="s">
        <v>317</v>
      </c>
      <c r="X152" s="2" t="s">
        <v>317</v>
      </c>
      <c r="Y152" s="2" t="s">
        <v>317</v>
      </c>
      <c r="Z152" s="2" t="s">
        <v>317</v>
      </c>
      <c r="AA152" s="2" t="s">
        <v>319</v>
      </c>
      <c r="AB152" s="2" t="s">
        <v>317</v>
      </c>
      <c r="AC152" s="2" t="s">
        <v>317</v>
      </c>
      <c r="AD152" s="2" t="s">
        <v>317</v>
      </c>
    </row>
    <row r="153" spans="1:30" x14ac:dyDescent="0.3">
      <c r="A153" s="2" t="s">
        <v>303</v>
      </c>
      <c r="B153" s="2" t="s">
        <v>274</v>
      </c>
      <c r="C153" s="2" t="s">
        <v>317</v>
      </c>
      <c r="D153" s="2" t="s">
        <v>317</v>
      </c>
      <c r="E153" s="2" t="s">
        <v>317</v>
      </c>
      <c r="F153" s="2" t="s">
        <v>317</v>
      </c>
      <c r="G153" s="2" t="s">
        <v>317</v>
      </c>
      <c r="H153" s="2" t="s">
        <v>317</v>
      </c>
      <c r="I153" s="2" t="s">
        <v>317</v>
      </c>
      <c r="J153" s="2" t="s">
        <v>317</v>
      </c>
      <c r="K153" s="2" t="s">
        <v>317</v>
      </c>
      <c r="L153" s="2" t="s">
        <v>317</v>
      </c>
      <c r="M153" s="2" t="s">
        <v>318</v>
      </c>
      <c r="N153" s="2" t="s">
        <v>317</v>
      </c>
      <c r="O153" s="2" t="s">
        <v>317</v>
      </c>
      <c r="P153" s="2" t="s">
        <v>317</v>
      </c>
      <c r="Q153" s="2" t="s">
        <v>317</v>
      </c>
      <c r="R153" s="2" t="s">
        <v>317</v>
      </c>
      <c r="S153" s="2" t="s">
        <v>317</v>
      </c>
      <c r="T153" s="2" t="s">
        <v>317</v>
      </c>
      <c r="U153" s="2" t="s">
        <v>320</v>
      </c>
      <c r="V153" s="2" t="s">
        <v>317</v>
      </c>
      <c r="W153" s="2" t="s">
        <v>317</v>
      </c>
      <c r="X153" s="2" t="s">
        <v>317</v>
      </c>
      <c r="Y153" s="2" t="s">
        <v>317</v>
      </c>
      <c r="Z153" s="2" t="s">
        <v>318</v>
      </c>
      <c r="AA153" s="2" t="s">
        <v>317</v>
      </c>
      <c r="AB153" s="2" t="s">
        <v>317</v>
      </c>
      <c r="AC153" s="2" t="s">
        <v>317</v>
      </c>
      <c r="AD153" s="2" t="s">
        <v>317</v>
      </c>
    </row>
    <row r="154" spans="1:30" x14ac:dyDescent="0.3">
      <c r="A154" s="2" t="s">
        <v>304</v>
      </c>
      <c r="B154" s="2" t="s">
        <v>30</v>
      </c>
      <c r="C154" s="2" t="s">
        <v>317</v>
      </c>
      <c r="D154" s="2" t="s">
        <v>319</v>
      </c>
      <c r="E154" s="2" t="s">
        <v>317</v>
      </c>
      <c r="F154" s="2" t="s">
        <v>317</v>
      </c>
      <c r="G154" s="2" t="s">
        <v>317</v>
      </c>
      <c r="H154" s="2" t="s">
        <v>317</v>
      </c>
      <c r="I154" s="2" t="s">
        <v>317</v>
      </c>
      <c r="J154" s="2" t="s">
        <v>317</v>
      </c>
      <c r="K154" s="2" t="s">
        <v>317</v>
      </c>
      <c r="L154" s="2" t="s">
        <v>317</v>
      </c>
      <c r="M154" s="2" t="s">
        <v>318</v>
      </c>
      <c r="N154" s="2" t="s">
        <v>319</v>
      </c>
      <c r="O154" s="2" t="s">
        <v>317</v>
      </c>
      <c r="P154" s="2" t="s">
        <v>317</v>
      </c>
      <c r="Q154" s="2" t="s">
        <v>317</v>
      </c>
      <c r="R154" s="2" t="s">
        <v>317</v>
      </c>
      <c r="S154" s="2" t="s">
        <v>317</v>
      </c>
      <c r="T154" s="2" t="s">
        <v>317</v>
      </c>
      <c r="U154" s="2" t="s">
        <v>317</v>
      </c>
      <c r="V154" s="2" t="s">
        <v>317</v>
      </c>
      <c r="W154" s="2" t="s">
        <v>317</v>
      </c>
      <c r="X154" s="2" t="s">
        <v>317</v>
      </c>
      <c r="Y154" s="2" t="s">
        <v>317</v>
      </c>
      <c r="Z154" s="2" t="s">
        <v>317</v>
      </c>
      <c r="AA154" s="2" t="s">
        <v>317</v>
      </c>
      <c r="AB154" s="2" t="s">
        <v>317</v>
      </c>
      <c r="AC154" s="2" t="s">
        <v>317</v>
      </c>
      <c r="AD154" s="2" t="s">
        <v>317</v>
      </c>
    </row>
    <row r="155" spans="1:30" x14ac:dyDescent="0.3">
      <c r="A155" s="2" t="s">
        <v>305</v>
      </c>
      <c r="B155" s="2" t="s">
        <v>113</v>
      </c>
      <c r="C155" s="2" t="s">
        <v>317</v>
      </c>
      <c r="D155" s="2" t="s">
        <v>317</v>
      </c>
      <c r="E155" s="2" t="s">
        <v>317</v>
      </c>
      <c r="F155" s="2" t="s">
        <v>317</v>
      </c>
      <c r="G155" s="2" t="s">
        <v>317</v>
      </c>
      <c r="H155" s="2" t="s">
        <v>317</v>
      </c>
      <c r="I155" s="2" t="s">
        <v>320</v>
      </c>
      <c r="J155" s="2" t="s">
        <v>317</v>
      </c>
      <c r="K155" s="2" t="s">
        <v>320</v>
      </c>
      <c r="L155" s="2" t="s">
        <v>317</v>
      </c>
      <c r="M155" s="2" t="s">
        <v>317</v>
      </c>
      <c r="N155" s="2" t="s">
        <v>319</v>
      </c>
      <c r="O155" s="2" t="s">
        <v>317</v>
      </c>
      <c r="P155" s="2" t="s">
        <v>317</v>
      </c>
      <c r="Q155" s="2" t="s">
        <v>317</v>
      </c>
      <c r="R155" s="2" t="s">
        <v>317</v>
      </c>
      <c r="S155" s="2" t="s">
        <v>317</v>
      </c>
      <c r="T155" s="2" t="s">
        <v>317</v>
      </c>
      <c r="U155" s="2" t="s">
        <v>317</v>
      </c>
      <c r="V155" s="2" t="s">
        <v>317</v>
      </c>
      <c r="W155" s="2" t="s">
        <v>317</v>
      </c>
      <c r="X155" s="2" t="s">
        <v>317</v>
      </c>
      <c r="Y155" s="2" t="s">
        <v>317</v>
      </c>
      <c r="Z155" s="2" t="s">
        <v>317</v>
      </c>
      <c r="AA155" s="2" t="s">
        <v>317</v>
      </c>
      <c r="AB155" s="2" t="s">
        <v>317</v>
      </c>
      <c r="AC155" s="2" t="s">
        <v>319</v>
      </c>
      <c r="AD155" s="2" t="s">
        <v>317</v>
      </c>
    </row>
    <row r="156" spans="1:30" x14ac:dyDescent="0.3">
      <c r="A156" s="2" t="s">
        <v>306</v>
      </c>
      <c r="B156" s="2" t="s">
        <v>85</v>
      </c>
      <c r="C156" s="2" t="s">
        <v>317</v>
      </c>
      <c r="D156" s="2" t="s">
        <v>320</v>
      </c>
      <c r="E156" s="2" t="s">
        <v>318</v>
      </c>
      <c r="F156" s="2" t="s">
        <v>317</v>
      </c>
      <c r="G156" s="2" t="s">
        <v>317</v>
      </c>
      <c r="H156" s="2" t="s">
        <v>317</v>
      </c>
      <c r="I156" s="2" t="s">
        <v>319</v>
      </c>
      <c r="J156" s="2" t="s">
        <v>317</v>
      </c>
      <c r="K156" s="2" t="s">
        <v>317</v>
      </c>
      <c r="L156" s="2" t="s">
        <v>317</v>
      </c>
      <c r="M156" s="2" t="s">
        <v>317</v>
      </c>
      <c r="N156" s="2" t="s">
        <v>317</v>
      </c>
      <c r="O156" s="2" t="s">
        <v>317</v>
      </c>
      <c r="P156" s="2" t="s">
        <v>317</v>
      </c>
      <c r="Q156" s="2" t="s">
        <v>317</v>
      </c>
      <c r="R156" s="2" t="s">
        <v>317</v>
      </c>
      <c r="S156" s="2" t="s">
        <v>317</v>
      </c>
      <c r="T156" s="2" t="s">
        <v>319</v>
      </c>
      <c r="U156" s="2" t="s">
        <v>320</v>
      </c>
      <c r="V156" s="2" t="s">
        <v>317</v>
      </c>
      <c r="W156" s="2" t="s">
        <v>317</v>
      </c>
      <c r="X156" s="2" t="s">
        <v>317</v>
      </c>
      <c r="Y156" s="2" t="s">
        <v>317</v>
      </c>
      <c r="Z156" s="2" t="s">
        <v>317</v>
      </c>
      <c r="AA156" s="2" t="s">
        <v>317</v>
      </c>
      <c r="AB156" s="2" t="s">
        <v>317</v>
      </c>
      <c r="AC156" s="2" t="s">
        <v>318</v>
      </c>
      <c r="AD156" s="2" t="s">
        <v>317</v>
      </c>
    </row>
    <row r="157" spans="1:30" x14ac:dyDescent="0.3">
      <c r="A157" s="2" t="s">
        <v>307</v>
      </c>
      <c r="B157" s="2" t="s">
        <v>308</v>
      </c>
      <c r="C157" s="2" t="s">
        <v>317</v>
      </c>
      <c r="D157" s="2" t="s">
        <v>317</v>
      </c>
      <c r="E157" s="2" t="s">
        <v>317</v>
      </c>
      <c r="F157" s="2" t="s">
        <v>320</v>
      </c>
      <c r="G157" s="2" t="s">
        <v>317</v>
      </c>
      <c r="H157" s="2" t="s">
        <v>319</v>
      </c>
      <c r="I157" s="2" t="s">
        <v>317</v>
      </c>
      <c r="J157" s="2" t="s">
        <v>320</v>
      </c>
      <c r="K157" s="2" t="s">
        <v>317</v>
      </c>
      <c r="L157" s="2" t="s">
        <v>317</v>
      </c>
      <c r="M157" s="2" t="s">
        <v>317</v>
      </c>
      <c r="N157" s="2" t="s">
        <v>320</v>
      </c>
      <c r="O157" s="2" t="s">
        <v>317</v>
      </c>
      <c r="P157" s="2" t="s">
        <v>317</v>
      </c>
      <c r="Q157" s="2" t="s">
        <v>317</v>
      </c>
      <c r="R157" s="2" t="s">
        <v>317</v>
      </c>
      <c r="S157" s="2" t="s">
        <v>317</v>
      </c>
      <c r="T157" s="2" t="s">
        <v>317</v>
      </c>
      <c r="U157" s="2" t="s">
        <v>317</v>
      </c>
      <c r="V157" s="2" t="s">
        <v>317</v>
      </c>
      <c r="W157" s="2" t="s">
        <v>317</v>
      </c>
      <c r="X157" s="2" t="s">
        <v>317</v>
      </c>
      <c r="Y157" s="2" t="s">
        <v>317</v>
      </c>
      <c r="Z157" s="2" t="s">
        <v>317</v>
      </c>
      <c r="AA157" s="2" t="s">
        <v>317</v>
      </c>
      <c r="AB157" s="2" t="s">
        <v>319</v>
      </c>
      <c r="AC157" s="2" t="s">
        <v>317</v>
      </c>
      <c r="AD157" s="2" t="s">
        <v>317</v>
      </c>
    </row>
    <row r="158" spans="1:30" x14ac:dyDescent="0.3">
      <c r="A158" s="2" t="s">
        <v>309</v>
      </c>
      <c r="B158" s="2" t="s">
        <v>310</v>
      </c>
      <c r="C158" s="2" t="s">
        <v>317</v>
      </c>
      <c r="D158" s="2" t="s">
        <v>319</v>
      </c>
      <c r="E158" s="2" t="s">
        <v>317</v>
      </c>
      <c r="F158" s="2" t="s">
        <v>317</v>
      </c>
      <c r="G158" s="2" t="s">
        <v>317</v>
      </c>
      <c r="H158" s="2" t="s">
        <v>317</v>
      </c>
      <c r="I158" s="2" t="s">
        <v>317</v>
      </c>
      <c r="J158" s="2" t="s">
        <v>317</v>
      </c>
      <c r="K158" s="2" t="s">
        <v>317</v>
      </c>
      <c r="L158" s="2" t="s">
        <v>317</v>
      </c>
      <c r="M158" s="2" t="s">
        <v>317</v>
      </c>
      <c r="N158" s="2" t="s">
        <v>317</v>
      </c>
      <c r="O158" s="2" t="s">
        <v>317</v>
      </c>
      <c r="P158" s="2" t="s">
        <v>317</v>
      </c>
      <c r="Q158" s="2" t="s">
        <v>317</v>
      </c>
      <c r="R158" s="2" t="s">
        <v>320</v>
      </c>
      <c r="S158" s="2" t="s">
        <v>317</v>
      </c>
      <c r="T158" s="2" t="s">
        <v>317</v>
      </c>
      <c r="U158" s="2" t="s">
        <v>317</v>
      </c>
      <c r="V158" s="2" t="s">
        <v>318</v>
      </c>
      <c r="W158" s="2" t="s">
        <v>320</v>
      </c>
      <c r="X158" s="2" t="s">
        <v>317</v>
      </c>
      <c r="Y158" s="2" t="s">
        <v>317</v>
      </c>
      <c r="Z158" s="2" t="s">
        <v>317</v>
      </c>
      <c r="AA158" s="2" t="s">
        <v>317</v>
      </c>
      <c r="AB158" s="2" t="s">
        <v>317</v>
      </c>
      <c r="AC158" s="2" t="s">
        <v>317</v>
      </c>
      <c r="AD158" s="2" t="s">
        <v>317</v>
      </c>
    </row>
    <row r="159" spans="1:30" x14ac:dyDescent="0.3">
      <c r="A159" s="2" t="s">
        <v>311</v>
      </c>
      <c r="B159" s="2" t="s">
        <v>312</v>
      </c>
      <c r="C159" s="2" t="s">
        <v>317</v>
      </c>
      <c r="D159" s="2" t="s">
        <v>317</v>
      </c>
      <c r="E159" s="2" t="s">
        <v>318</v>
      </c>
      <c r="F159" s="2" t="s">
        <v>317</v>
      </c>
      <c r="G159" s="2" t="s">
        <v>317</v>
      </c>
      <c r="H159" s="2" t="s">
        <v>317</v>
      </c>
      <c r="I159" s="2" t="s">
        <v>317</v>
      </c>
      <c r="J159" s="2" t="s">
        <v>317</v>
      </c>
      <c r="K159" s="2" t="s">
        <v>317</v>
      </c>
      <c r="L159" s="2" t="s">
        <v>317</v>
      </c>
      <c r="M159" s="2" t="s">
        <v>317</v>
      </c>
      <c r="N159" s="2" t="s">
        <v>317</v>
      </c>
      <c r="O159" s="2" t="s">
        <v>319</v>
      </c>
      <c r="P159" s="2" t="s">
        <v>317</v>
      </c>
      <c r="Q159" s="2" t="s">
        <v>317</v>
      </c>
      <c r="R159" s="2" t="s">
        <v>317</v>
      </c>
      <c r="S159" s="2" t="s">
        <v>317</v>
      </c>
      <c r="T159" s="2" t="s">
        <v>317</v>
      </c>
      <c r="U159" s="2" t="s">
        <v>317</v>
      </c>
      <c r="V159" s="2" t="s">
        <v>318</v>
      </c>
      <c r="W159" s="2" t="s">
        <v>317</v>
      </c>
      <c r="X159" s="2" t="s">
        <v>317</v>
      </c>
      <c r="Y159" s="2" t="s">
        <v>317</v>
      </c>
      <c r="Z159" s="2" t="s">
        <v>317</v>
      </c>
      <c r="AA159" s="2" t="s">
        <v>317</v>
      </c>
      <c r="AB159" s="2" t="s">
        <v>317</v>
      </c>
      <c r="AC159" s="2" t="s">
        <v>317</v>
      </c>
      <c r="AD159" s="2" t="s">
        <v>317</v>
      </c>
    </row>
    <row r="160" spans="1:30" x14ac:dyDescent="0.3">
      <c r="A160" s="2" t="s">
        <v>313</v>
      </c>
      <c r="B160" s="2" t="s">
        <v>314</v>
      </c>
      <c r="C160" s="2" t="s">
        <v>317</v>
      </c>
      <c r="D160" s="2" t="s">
        <v>317</v>
      </c>
      <c r="E160" s="2" t="s">
        <v>317</v>
      </c>
      <c r="F160" s="2" t="s">
        <v>318</v>
      </c>
      <c r="G160" s="2" t="s">
        <v>317</v>
      </c>
      <c r="H160" s="2" t="s">
        <v>317</v>
      </c>
      <c r="I160" s="2" t="s">
        <v>317</v>
      </c>
      <c r="J160" s="2" t="s">
        <v>317</v>
      </c>
      <c r="K160" s="2" t="s">
        <v>317</v>
      </c>
      <c r="L160" s="2" t="s">
        <v>317</v>
      </c>
      <c r="M160" s="2" t="s">
        <v>317</v>
      </c>
      <c r="N160" s="2" t="s">
        <v>317</v>
      </c>
      <c r="O160" s="2" t="s">
        <v>317</v>
      </c>
      <c r="P160" s="2" t="s">
        <v>317</v>
      </c>
      <c r="Q160" s="2" t="s">
        <v>317</v>
      </c>
      <c r="R160" s="2" t="s">
        <v>319</v>
      </c>
      <c r="S160" s="2" t="s">
        <v>317</v>
      </c>
      <c r="T160" s="2" t="s">
        <v>317</v>
      </c>
      <c r="U160" s="2" t="s">
        <v>317</v>
      </c>
      <c r="V160" s="2" t="s">
        <v>317</v>
      </c>
      <c r="W160" s="2" t="s">
        <v>317</v>
      </c>
      <c r="X160" s="2" t="s">
        <v>317</v>
      </c>
      <c r="Y160" s="2" t="s">
        <v>317</v>
      </c>
      <c r="Z160" s="2" t="s">
        <v>317</v>
      </c>
      <c r="AA160" s="2" t="s">
        <v>317</v>
      </c>
      <c r="AB160" s="2" t="s">
        <v>317</v>
      </c>
      <c r="AC160" s="2" t="s">
        <v>317</v>
      </c>
      <c r="AD160" s="2" t="s">
        <v>317</v>
      </c>
    </row>
    <row r="161" spans="1:163" x14ac:dyDescent="0.3">
      <c r="A161" s="2" t="s">
        <v>315</v>
      </c>
      <c r="B161" s="2" t="s">
        <v>316</v>
      </c>
      <c r="C161" s="2" t="s">
        <v>317</v>
      </c>
      <c r="D161" s="2" t="s">
        <v>317</v>
      </c>
      <c r="E161" s="2" t="s">
        <v>317</v>
      </c>
      <c r="F161" s="2" t="s">
        <v>317</v>
      </c>
      <c r="G161" s="2" t="s">
        <v>317</v>
      </c>
      <c r="H161" s="2" t="s">
        <v>317</v>
      </c>
      <c r="I161" s="2" t="s">
        <v>317</v>
      </c>
      <c r="J161" s="2" t="s">
        <v>317</v>
      </c>
      <c r="K161" s="2" t="s">
        <v>317</v>
      </c>
      <c r="L161" s="2" t="s">
        <v>317</v>
      </c>
      <c r="M161" s="2" t="s">
        <v>317</v>
      </c>
      <c r="N161" s="2" t="s">
        <v>317</v>
      </c>
      <c r="O161" s="2" t="s">
        <v>317</v>
      </c>
      <c r="P161" s="2" t="s">
        <v>317</v>
      </c>
      <c r="Q161" s="2" t="s">
        <v>317</v>
      </c>
      <c r="R161" s="2" t="s">
        <v>317</v>
      </c>
      <c r="S161" s="2" t="s">
        <v>317</v>
      </c>
      <c r="T161" s="2" t="s">
        <v>317</v>
      </c>
      <c r="U161" s="2" t="s">
        <v>317</v>
      </c>
      <c r="V161" s="2" t="s">
        <v>317</v>
      </c>
      <c r="W161" s="2" t="s">
        <v>317</v>
      </c>
      <c r="X161" s="2" t="s">
        <v>317</v>
      </c>
      <c r="Y161" s="2" t="s">
        <v>317</v>
      </c>
      <c r="Z161" s="2" t="s">
        <v>317</v>
      </c>
      <c r="AA161" s="2" t="s">
        <v>317</v>
      </c>
      <c r="AB161" s="2" t="s">
        <v>317</v>
      </c>
      <c r="AC161" s="2" t="s">
        <v>319</v>
      </c>
      <c r="AD161" s="2" t="s">
        <v>317</v>
      </c>
      <c r="AE161" s="2" t="s">
        <v>317</v>
      </c>
      <c r="AF161" s="2" t="s">
        <v>317</v>
      </c>
      <c r="AG161" s="2" t="s">
        <v>317</v>
      </c>
      <c r="AH161" s="2" t="s">
        <v>319</v>
      </c>
      <c r="AI161" s="2" t="s">
        <v>317</v>
      </c>
      <c r="AJ161" s="2" t="s">
        <v>317</v>
      </c>
      <c r="AK161" s="2" t="s">
        <v>317</v>
      </c>
      <c r="AL161" s="2" t="s">
        <v>317</v>
      </c>
      <c r="AM161" s="2" t="s">
        <v>317</v>
      </c>
      <c r="AN161" s="2" t="s">
        <v>318</v>
      </c>
      <c r="AO161" s="2" t="s">
        <v>317</v>
      </c>
      <c r="AP161" s="2" t="s">
        <v>317</v>
      </c>
      <c r="AQ161" s="2" t="s">
        <v>317</v>
      </c>
      <c r="AR161" s="2" t="s">
        <v>317</v>
      </c>
      <c r="AS161" s="2" t="s">
        <v>318</v>
      </c>
      <c r="AT161" s="2" t="s">
        <v>317</v>
      </c>
      <c r="AU161" s="2" t="s">
        <v>317</v>
      </c>
      <c r="AV161" s="2" t="s">
        <v>317</v>
      </c>
      <c r="AW161" s="2" t="s">
        <v>317</v>
      </c>
      <c r="AX161" s="2" t="s">
        <v>317</v>
      </c>
      <c r="AY161" s="2" t="s">
        <v>317</v>
      </c>
      <c r="AZ161" s="2" t="s">
        <v>317</v>
      </c>
      <c r="BA161" s="2" t="s">
        <v>317</v>
      </c>
      <c r="BB161" s="2" t="s">
        <v>320</v>
      </c>
      <c r="BC161" s="2" t="s">
        <v>317</v>
      </c>
      <c r="BD161" s="2" t="s">
        <v>317</v>
      </c>
      <c r="BE161" s="2" t="s">
        <v>317</v>
      </c>
      <c r="BF161" s="2" t="s">
        <v>317</v>
      </c>
      <c r="BG161" s="2" t="s">
        <v>317</v>
      </c>
      <c r="BH161" s="2" t="s">
        <v>317</v>
      </c>
      <c r="BI161" s="2" t="s">
        <v>317</v>
      </c>
      <c r="BJ161" s="2" t="s">
        <v>317</v>
      </c>
      <c r="BK161" s="2" t="s">
        <v>317</v>
      </c>
      <c r="BL161" s="2" t="s">
        <v>317</v>
      </c>
      <c r="BM161" s="2" t="s">
        <v>317</v>
      </c>
      <c r="BN161" s="2" t="s">
        <v>317</v>
      </c>
      <c r="BO161" s="2" t="s">
        <v>317</v>
      </c>
      <c r="BP161" s="2" t="s">
        <v>317</v>
      </c>
      <c r="BQ161" s="2" t="s">
        <v>317</v>
      </c>
      <c r="BR161" s="2" t="s">
        <v>317</v>
      </c>
      <c r="BS161" s="2" t="s">
        <v>319</v>
      </c>
      <c r="BT161" s="2" t="s">
        <v>317</v>
      </c>
      <c r="BU161" s="2" t="s">
        <v>317</v>
      </c>
      <c r="BV161" s="2" t="s">
        <v>317</v>
      </c>
      <c r="BW161" s="2" t="s">
        <v>317</v>
      </c>
      <c r="BX161" s="2" t="s">
        <v>318</v>
      </c>
      <c r="BY161" s="2" t="s">
        <v>317</v>
      </c>
      <c r="BZ161" s="2" t="s">
        <v>317</v>
      </c>
      <c r="CA161" s="2" t="s">
        <v>317</v>
      </c>
      <c r="CB161" s="2" t="s">
        <v>317</v>
      </c>
      <c r="CC161" s="2" t="s">
        <v>319</v>
      </c>
      <c r="CD161" s="2" t="s">
        <v>317</v>
      </c>
      <c r="CE161" s="2" t="s">
        <v>317</v>
      </c>
      <c r="CF161" s="2" t="s">
        <v>317</v>
      </c>
      <c r="CG161" s="2" t="s">
        <v>317</v>
      </c>
      <c r="CH161" s="2" t="s">
        <v>317</v>
      </c>
      <c r="CI161" s="2" t="s">
        <v>317</v>
      </c>
      <c r="CJ161" s="2" t="s">
        <v>317</v>
      </c>
      <c r="CK161" s="2" t="s">
        <v>317</v>
      </c>
      <c r="CL161" s="2" t="s">
        <v>317</v>
      </c>
      <c r="CM161" s="2" t="s">
        <v>317</v>
      </c>
      <c r="CN161" s="2" t="s">
        <v>317</v>
      </c>
      <c r="CO161" s="2" t="s">
        <v>317</v>
      </c>
      <c r="CP161" s="2" t="s">
        <v>318</v>
      </c>
      <c r="CQ161" s="2" t="s">
        <v>317</v>
      </c>
      <c r="CR161" s="2" t="s">
        <v>317</v>
      </c>
      <c r="CS161" s="2" t="s">
        <v>317</v>
      </c>
      <c r="CT161" s="2" t="s">
        <v>320</v>
      </c>
      <c r="CU161" s="2" t="s">
        <v>317</v>
      </c>
      <c r="CV161" s="2" t="s">
        <v>317</v>
      </c>
      <c r="CW161" s="2" t="s">
        <v>317</v>
      </c>
      <c r="CX161" s="2" t="s">
        <v>317</v>
      </c>
      <c r="CY161" s="2" t="s">
        <v>317</v>
      </c>
      <c r="CZ161" s="2" t="s">
        <v>317</v>
      </c>
      <c r="DA161" s="2" t="s">
        <v>317</v>
      </c>
      <c r="DB161" s="2" t="s">
        <v>317</v>
      </c>
      <c r="DC161" s="2" t="s">
        <v>317</v>
      </c>
      <c r="DD161" s="2" t="s">
        <v>317</v>
      </c>
      <c r="DE161" s="2" t="s">
        <v>317</v>
      </c>
      <c r="DF161" s="2" t="s">
        <v>318</v>
      </c>
      <c r="DG161" s="2" t="s">
        <v>317</v>
      </c>
      <c r="DH161" s="2" t="s">
        <v>317</v>
      </c>
      <c r="DI161" s="2" t="s">
        <v>317</v>
      </c>
      <c r="DJ161" s="2" t="s">
        <v>319</v>
      </c>
      <c r="DK161" s="2" t="s">
        <v>317</v>
      </c>
      <c r="DL161" s="2" t="s">
        <v>317</v>
      </c>
      <c r="DM161" s="2" t="s">
        <v>317</v>
      </c>
      <c r="DN161" s="2" t="s">
        <v>317</v>
      </c>
      <c r="DO161" s="2" t="s">
        <v>317</v>
      </c>
      <c r="DP161" s="2" t="s">
        <v>317</v>
      </c>
      <c r="DQ161" s="2" t="s">
        <v>317</v>
      </c>
      <c r="DR161" s="2" t="s">
        <v>317</v>
      </c>
      <c r="DS161" s="2" t="s">
        <v>319</v>
      </c>
      <c r="DT161" s="2" t="s">
        <v>317</v>
      </c>
      <c r="DU161" s="2" t="s">
        <v>317</v>
      </c>
      <c r="DV161" s="2" t="s">
        <v>317</v>
      </c>
      <c r="DW161" s="2" t="s">
        <v>317</v>
      </c>
      <c r="DX161" s="2" t="s">
        <v>317</v>
      </c>
      <c r="DY161" s="2" t="s">
        <v>317</v>
      </c>
      <c r="DZ161" s="2" t="s">
        <v>317</v>
      </c>
      <c r="EA161" s="2" t="s">
        <v>317</v>
      </c>
      <c r="EB161" s="2" t="s">
        <v>317</v>
      </c>
      <c r="EC161" s="2" t="s">
        <v>317</v>
      </c>
      <c r="ED161" s="2" t="s">
        <v>317</v>
      </c>
      <c r="EE161" s="2" t="s">
        <v>317</v>
      </c>
      <c r="EF161" s="2" t="s">
        <v>317</v>
      </c>
      <c r="EG161" s="2" t="s">
        <v>317</v>
      </c>
      <c r="EH161" s="2" t="s">
        <v>317</v>
      </c>
      <c r="EI161" s="2" t="s">
        <v>317</v>
      </c>
      <c r="EJ161" s="2" t="s">
        <v>319</v>
      </c>
      <c r="EK161" s="2" t="s">
        <v>317</v>
      </c>
      <c r="EL161" s="2" t="s">
        <v>317</v>
      </c>
      <c r="EM161" s="2" t="s">
        <v>317</v>
      </c>
      <c r="EN161" s="2" t="s">
        <v>319</v>
      </c>
      <c r="EO161" s="2" t="s">
        <v>317</v>
      </c>
      <c r="EP161" s="2" t="s">
        <v>317</v>
      </c>
      <c r="EQ161" s="2" t="s">
        <v>317</v>
      </c>
      <c r="ER161" s="2" t="s">
        <v>319</v>
      </c>
      <c r="ES161" s="2" t="s">
        <v>317</v>
      </c>
      <c r="ET161" s="2" t="s">
        <v>317</v>
      </c>
      <c r="EU161" s="2" t="s">
        <v>318</v>
      </c>
      <c r="EV161" s="2" t="s">
        <v>317</v>
      </c>
      <c r="EW161" s="2" t="s">
        <v>317</v>
      </c>
      <c r="EX161" s="2" t="s">
        <v>317</v>
      </c>
      <c r="EY161" s="2" t="s">
        <v>317</v>
      </c>
      <c r="EZ161" s="2" t="s">
        <v>317</v>
      </c>
      <c r="FA161" s="2" t="s">
        <v>317</v>
      </c>
      <c r="FB161" s="2" t="s">
        <v>319</v>
      </c>
      <c r="FC161" s="2" t="s">
        <v>317</v>
      </c>
      <c r="FD161" s="2" t="s">
        <v>317</v>
      </c>
      <c r="FE161" s="2" t="s">
        <v>317</v>
      </c>
      <c r="FF161" s="2" t="s">
        <v>318</v>
      </c>
      <c r="FG161" s="2" t="s">
        <v>317</v>
      </c>
    </row>
  </sheetData>
  <dataValidations count="1">
    <dataValidation type="list" allowBlank="1" showInputMessage="1" showErrorMessage="1" sqref="AE161:FG161" xr:uid="{3B7A7221-3536-4E34-94E8-B2F130E46159}">
      <formula1>"P,A,SL,PL"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Dataset</vt:lpstr>
      <vt:lpstr>Attendance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2025-10-22T13:01:29Z</dcterms:modified>
</cp:coreProperties>
</file>