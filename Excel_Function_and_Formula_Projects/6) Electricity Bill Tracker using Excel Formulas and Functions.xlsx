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0FFFDA5E-B8F0-4275-BE61-9D559C864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Monthly Bill Summary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4" i="1"/>
  <c r="P4" i="1"/>
  <c r="O4" i="1"/>
  <c r="L5" i="1"/>
  <c r="L16" i="1"/>
  <c r="L22" i="1"/>
  <c r="L24" i="1"/>
  <c r="L32" i="1"/>
  <c r="L40" i="1"/>
  <c r="L48" i="1"/>
  <c r="L54" i="1"/>
  <c r="L56" i="1"/>
  <c r="L62" i="1"/>
  <c r="L64" i="1"/>
  <c r="L70" i="1"/>
  <c r="L72" i="1"/>
  <c r="L78" i="1"/>
  <c r="L80" i="1"/>
  <c r="L86" i="1"/>
  <c r="L88" i="1"/>
  <c r="K3" i="1"/>
  <c r="L3" i="1" s="1"/>
  <c r="K4" i="1"/>
  <c r="L4" i="1" s="1"/>
  <c r="K5" i="1"/>
  <c r="K6" i="1"/>
  <c r="L6" i="1" s="1"/>
  <c r="K7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K17" i="1"/>
  <c r="L17" i="1" s="1"/>
  <c r="K18" i="1"/>
  <c r="L18" i="1" s="1"/>
  <c r="K19" i="1"/>
  <c r="L19" i="1" s="1"/>
  <c r="K20" i="1"/>
  <c r="L20" i="1" s="1"/>
  <c r="K21" i="1"/>
  <c r="L21" i="1" s="1"/>
  <c r="K22" i="1"/>
  <c r="K23" i="1"/>
  <c r="L23" i="1" s="1"/>
  <c r="K24" i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K63" i="1"/>
  <c r="L63" i="1" s="1"/>
  <c r="K64" i="1"/>
  <c r="K65" i="1"/>
  <c r="L65" i="1" s="1"/>
  <c r="K66" i="1"/>
  <c r="L66" i="1" s="1"/>
  <c r="K67" i="1"/>
  <c r="L67" i="1" s="1"/>
  <c r="K68" i="1"/>
  <c r="L68" i="1" s="1"/>
  <c r="K69" i="1"/>
  <c r="L69" i="1" s="1"/>
  <c r="K70" i="1"/>
  <c r="K71" i="1"/>
  <c r="L71" i="1" s="1"/>
  <c r="K72" i="1"/>
  <c r="K73" i="1"/>
  <c r="L73" i="1" s="1"/>
  <c r="K74" i="1"/>
  <c r="L74" i="1" s="1"/>
  <c r="K75" i="1"/>
  <c r="L75" i="1" s="1"/>
  <c r="K76" i="1"/>
  <c r="L76" i="1" s="1"/>
  <c r="K77" i="1"/>
  <c r="L77" i="1" s="1"/>
  <c r="K78" i="1"/>
  <c r="K79" i="1"/>
  <c r="L79" i="1" s="1"/>
  <c r="K80" i="1"/>
  <c r="K81" i="1"/>
  <c r="L81" i="1" s="1"/>
  <c r="K82" i="1"/>
  <c r="L82" i="1" s="1"/>
  <c r="K83" i="1"/>
  <c r="L83" i="1" s="1"/>
  <c r="K84" i="1"/>
  <c r="L84" i="1" s="1"/>
  <c r="K85" i="1"/>
  <c r="L85" i="1" s="1"/>
  <c r="K86" i="1"/>
  <c r="K87" i="1"/>
  <c r="L87" i="1" s="1"/>
  <c r="K88" i="1"/>
  <c r="K89" i="1"/>
  <c r="L89" i="1" s="1"/>
  <c r="K90" i="1"/>
  <c r="L90" i="1" s="1"/>
  <c r="K91" i="1"/>
  <c r="L91" i="1" s="1"/>
  <c r="K2" i="1"/>
  <c r="L2" i="1" s="1"/>
  <c r="I3" i="1"/>
  <c r="I4" i="1"/>
  <c r="I5" i="1"/>
  <c r="I6" i="1"/>
  <c r="I7" i="1"/>
  <c r="Q13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2" i="1"/>
  <c r="H13" i="1"/>
  <c r="H14" i="1"/>
  <c r="H17" i="1"/>
  <c r="H21" i="1"/>
  <c r="H22" i="1"/>
  <c r="H25" i="1"/>
  <c r="H29" i="1"/>
  <c r="H30" i="1"/>
  <c r="H33" i="1"/>
  <c r="H37" i="1"/>
  <c r="H38" i="1"/>
  <c r="H41" i="1"/>
  <c r="H45" i="1"/>
  <c r="H46" i="1"/>
  <c r="H49" i="1"/>
  <c r="H53" i="1"/>
  <c r="H54" i="1"/>
  <c r="H57" i="1"/>
  <c r="H61" i="1"/>
  <c r="H62" i="1"/>
  <c r="H65" i="1"/>
  <c r="H69" i="1"/>
  <c r="H70" i="1"/>
  <c r="H73" i="1"/>
  <c r="H77" i="1"/>
  <c r="H78" i="1"/>
  <c r="H81" i="1"/>
  <c r="H85" i="1"/>
  <c r="H86" i="1"/>
  <c r="H89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F14" i="1"/>
  <c r="F15" i="1"/>
  <c r="H15" i="1" s="1"/>
  <c r="F16" i="1"/>
  <c r="H16" i="1" s="1"/>
  <c r="F17" i="1"/>
  <c r="F18" i="1"/>
  <c r="H18" i="1" s="1"/>
  <c r="F19" i="1"/>
  <c r="H19" i="1" s="1"/>
  <c r="F20" i="1"/>
  <c r="H20" i="1" s="1"/>
  <c r="F21" i="1"/>
  <c r="F22" i="1"/>
  <c r="F23" i="1"/>
  <c r="H23" i="1" s="1"/>
  <c r="F24" i="1"/>
  <c r="H24" i="1" s="1"/>
  <c r="F25" i="1"/>
  <c r="F26" i="1"/>
  <c r="H26" i="1" s="1"/>
  <c r="F27" i="1"/>
  <c r="H27" i="1" s="1"/>
  <c r="F28" i="1"/>
  <c r="H28" i="1" s="1"/>
  <c r="F29" i="1"/>
  <c r="F30" i="1"/>
  <c r="F31" i="1"/>
  <c r="H31" i="1" s="1"/>
  <c r="F32" i="1"/>
  <c r="H32" i="1" s="1"/>
  <c r="F33" i="1"/>
  <c r="F34" i="1"/>
  <c r="H34" i="1" s="1"/>
  <c r="F35" i="1"/>
  <c r="H35" i="1" s="1"/>
  <c r="F36" i="1"/>
  <c r="H36" i="1" s="1"/>
  <c r="F37" i="1"/>
  <c r="F38" i="1"/>
  <c r="F39" i="1"/>
  <c r="H39" i="1" s="1"/>
  <c r="F40" i="1"/>
  <c r="H40" i="1" s="1"/>
  <c r="F41" i="1"/>
  <c r="F42" i="1"/>
  <c r="H42" i="1" s="1"/>
  <c r="F43" i="1"/>
  <c r="H43" i="1" s="1"/>
  <c r="F44" i="1"/>
  <c r="H44" i="1" s="1"/>
  <c r="F45" i="1"/>
  <c r="F46" i="1"/>
  <c r="F47" i="1"/>
  <c r="H47" i="1" s="1"/>
  <c r="F48" i="1"/>
  <c r="H48" i="1" s="1"/>
  <c r="F49" i="1"/>
  <c r="F50" i="1"/>
  <c r="H50" i="1" s="1"/>
  <c r="F51" i="1"/>
  <c r="H51" i="1" s="1"/>
  <c r="F52" i="1"/>
  <c r="H52" i="1" s="1"/>
  <c r="F53" i="1"/>
  <c r="F54" i="1"/>
  <c r="F55" i="1"/>
  <c r="H55" i="1" s="1"/>
  <c r="F56" i="1"/>
  <c r="H56" i="1" s="1"/>
  <c r="F57" i="1"/>
  <c r="F58" i="1"/>
  <c r="H58" i="1" s="1"/>
  <c r="F59" i="1"/>
  <c r="H59" i="1" s="1"/>
  <c r="F60" i="1"/>
  <c r="H60" i="1" s="1"/>
  <c r="F61" i="1"/>
  <c r="F62" i="1"/>
  <c r="F63" i="1"/>
  <c r="H63" i="1" s="1"/>
  <c r="F64" i="1"/>
  <c r="H64" i="1" s="1"/>
  <c r="F65" i="1"/>
  <c r="F66" i="1"/>
  <c r="H66" i="1" s="1"/>
  <c r="F67" i="1"/>
  <c r="H67" i="1" s="1"/>
  <c r="F68" i="1"/>
  <c r="H68" i="1" s="1"/>
  <c r="F69" i="1"/>
  <c r="F70" i="1"/>
  <c r="F71" i="1"/>
  <c r="H71" i="1" s="1"/>
  <c r="F72" i="1"/>
  <c r="H72" i="1" s="1"/>
  <c r="F73" i="1"/>
  <c r="F74" i="1"/>
  <c r="H74" i="1" s="1"/>
  <c r="F75" i="1"/>
  <c r="H75" i="1" s="1"/>
  <c r="F76" i="1"/>
  <c r="H76" i="1" s="1"/>
  <c r="F77" i="1"/>
  <c r="F78" i="1"/>
  <c r="F79" i="1"/>
  <c r="H79" i="1" s="1"/>
  <c r="F80" i="1"/>
  <c r="H80" i="1" s="1"/>
  <c r="F81" i="1"/>
  <c r="F82" i="1"/>
  <c r="H82" i="1" s="1"/>
  <c r="F83" i="1"/>
  <c r="H83" i="1" s="1"/>
  <c r="F84" i="1"/>
  <c r="H84" i="1" s="1"/>
  <c r="F85" i="1"/>
  <c r="F86" i="1"/>
  <c r="F87" i="1"/>
  <c r="H87" i="1" s="1"/>
  <c r="F88" i="1"/>
  <c r="H88" i="1" s="1"/>
  <c r="F89" i="1"/>
  <c r="F90" i="1"/>
  <c r="H90" i="1" s="1"/>
  <c r="F91" i="1"/>
  <c r="H91" i="1" s="1"/>
  <c r="F2" i="1"/>
  <c r="H2" i="1" s="1"/>
  <c r="L7" i="1" l="1"/>
  <c r="P13" i="1" l="1"/>
  <c r="O13" i="1"/>
</calcChain>
</file>

<file path=xl/sharedStrings.xml><?xml version="1.0" encoding="utf-8"?>
<sst xmlns="http://schemas.openxmlformats.org/spreadsheetml/2006/main" count="387" uniqueCount="85">
  <si>
    <t>Customer ID</t>
  </si>
  <si>
    <t>Customer Name</t>
  </si>
  <si>
    <t>Month</t>
  </si>
  <si>
    <t>Previous Reading</t>
  </si>
  <si>
    <t>Current Reading</t>
  </si>
  <si>
    <t>Units Consumed</t>
  </si>
  <si>
    <t>Fixed Charge</t>
  </si>
  <si>
    <t>Energy Charge</t>
  </si>
  <si>
    <t>Total Bill</t>
  </si>
  <si>
    <t>Payment Status</t>
  </si>
  <si>
    <t>C001</t>
  </si>
  <si>
    <t>Amit Sharma</t>
  </si>
  <si>
    <t>Jan</t>
  </si>
  <si>
    <t>Pending</t>
  </si>
  <si>
    <t>Feb</t>
  </si>
  <si>
    <t>Paid</t>
  </si>
  <si>
    <t>Mar</t>
  </si>
  <si>
    <t>C002</t>
  </si>
  <si>
    <t>Neha Patil</t>
  </si>
  <si>
    <t>C003</t>
  </si>
  <si>
    <t>Raj Verma</t>
  </si>
  <si>
    <t>C004</t>
  </si>
  <si>
    <t>Riya Singh</t>
  </si>
  <si>
    <t>C005</t>
  </si>
  <si>
    <t>Saurabh Sonawane</t>
  </si>
  <si>
    <t>C006</t>
  </si>
  <si>
    <t>Priya Deshmukh</t>
  </si>
  <si>
    <t>C007</t>
  </si>
  <si>
    <t>Aditya Joshi</t>
  </si>
  <si>
    <t>C008</t>
  </si>
  <si>
    <t>Meera Nair</t>
  </si>
  <si>
    <t>C009</t>
  </si>
  <si>
    <t>Karan Gupta</t>
  </si>
  <si>
    <t>C010</t>
  </si>
  <si>
    <t>Sneha Iyer</t>
  </si>
  <si>
    <t>C011</t>
  </si>
  <si>
    <t>Rohit Mehta</t>
  </si>
  <si>
    <t>C012</t>
  </si>
  <si>
    <t>Pooja Patel</t>
  </si>
  <si>
    <t>C013</t>
  </si>
  <si>
    <t>Deepak Kumar</t>
  </si>
  <si>
    <t>C014</t>
  </si>
  <si>
    <t>Tina Rao</t>
  </si>
  <si>
    <t>C015</t>
  </si>
  <si>
    <t>Arjun Bhat</t>
  </si>
  <si>
    <t>C016</t>
  </si>
  <si>
    <t>Nikita Das</t>
  </si>
  <si>
    <t>C017</t>
  </si>
  <si>
    <t>Vivek Sharma</t>
  </si>
  <si>
    <t>C018</t>
  </si>
  <si>
    <t>Divya Reddy</t>
  </si>
  <si>
    <t>C019</t>
  </si>
  <si>
    <t>Manish Pandey</t>
  </si>
  <si>
    <t>C020</t>
  </si>
  <si>
    <t>Anjali Ghosh</t>
  </si>
  <si>
    <t>C021</t>
  </si>
  <si>
    <t>Harsh Vora</t>
  </si>
  <si>
    <t>C022</t>
  </si>
  <si>
    <t>Komal Jain</t>
  </si>
  <si>
    <t>C023</t>
  </si>
  <si>
    <t>Rahul Nair</t>
  </si>
  <si>
    <t>C024</t>
  </si>
  <si>
    <t>Shweta Pillai</t>
  </si>
  <si>
    <t>C025</t>
  </si>
  <si>
    <t>Akash Patil</t>
  </si>
  <si>
    <t>C026</t>
  </si>
  <si>
    <t>Simran Kaur</t>
  </si>
  <si>
    <t>C027</t>
  </si>
  <si>
    <t>Yash Thakur</t>
  </si>
  <si>
    <t>C028</t>
  </si>
  <si>
    <t>Rachit Gupta</t>
  </si>
  <si>
    <t>C029</t>
  </si>
  <si>
    <t>Isha Kapoor</t>
  </si>
  <si>
    <t>C030</t>
  </si>
  <si>
    <t>Naman Tiwari</t>
  </si>
  <si>
    <t>Late Fee</t>
  </si>
  <si>
    <t>Final Bill</t>
  </si>
  <si>
    <t>Total Units Consumed</t>
  </si>
  <si>
    <t>Max Bill</t>
  </si>
  <si>
    <t>Min Bill</t>
  </si>
  <si>
    <t>Average Bill</t>
  </si>
  <si>
    <t>Customer Summary</t>
  </si>
  <si>
    <t>Row Labels</t>
  </si>
  <si>
    <t>Grand Total</t>
  </si>
  <si>
    <t>Sum of Final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</si>
</sst>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1" xfId="0" applyNumberFormat="1" applyBorder="1"/>
    <xf numFmtId="168" fontId="1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[6) Electricity Bill Tracker using Excel Formulas and Functions.xlsx]Monthly Bill 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Bill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Bill Summary'!$A$4:$A$7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Bill Summary'!$B$4:$B$7</c:f>
              <c:numCache>
                <c:formatCode>General</c:formatCode>
                <c:ptCount val="3"/>
                <c:pt idx="0">
                  <c:v>31617.95</c:v>
                </c:pt>
                <c:pt idx="1">
                  <c:v>32507.8</c:v>
                </c:pt>
                <c:pt idx="2">
                  <c:v>32501.8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C-4B5F-BBDB-F2EE91C5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573904"/>
        <c:axId val="949580144"/>
      </c:barChart>
      <c:catAx>
        <c:axId val="9495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80144"/>
        <c:crosses val="autoZero"/>
        <c:auto val="1"/>
        <c:lblAlgn val="ctr"/>
        <c:lblOffset val="100"/>
        <c:noMultiLvlLbl val="0"/>
      </c:catAx>
      <c:valAx>
        <c:axId val="9495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7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72390</xdr:rowOff>
    </xdr:from>
    <xdr:to>
      <xdr:col>10</xdr:col>
      <xdr:colOff>495300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15B6CC-84C6-8D12-BAF2-A5876147A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55.623158796298" createdVersion="8" refreshedVersion="8" minRefreshableVersion="3" recordCount="90" xr:uid="{36F1FB72-72B0-482C-BE0D-BC22A2F04A8D}">
  <cacheSource type="worksheet">
    <worksheetSource ref="A1:L91" sheet="DATASET"/>
  </cacheSource>
  <cacheFields count="12">
    <cacheField name="Customer ID" numFmtId="0">
      <sharedItems/>
    </cacheField>
    <cacheField name="Customer Name" numFmtId="0">
      <sharedItems count="30">
        <s v="Amit Sharma"/>
        <s v="Neha Patil"/>
        <s v="Raj Verma"/>
        <s v="Riya Singh"/>
        <s v="Saurabh Sonawane"/>
        <s v="Priya Deshmukh"/>
        <s v="Aditya Joshi"/>
        <s v="Meera Nair"/>
        <s v="Karan Gupta"/>
        <s v="Sneha Iyer"/>
        <s v="Rohit Mehta"/>
        <s v="Pooja Patel"/>
        <s v="Deepak Kumar"/>
        <s v="Tina Rao"/>
        <s v="Arjun Bhat"/>
        <s v="Nikita Das"/>
        <s v="Vivek Sharma"/>
        <s v="Divya Reddy"/>
        <s v="Manish Pandey"/>
        <s v="Anjali Ghosh"/>
        <s v="Harsh Vora"/>
        <s v="Komal Jain"/>
        <s v="Rahul Nair"/>
        <s v="Shweta Pillai"/>
        <s v="Akash Patil"/>
        <s v="Simran Kaur"/>
        <s v="Yash Thakur"/>
        <s v="Rachit Gupta"/>
        <s v="Isha Kapoor"/>
        <s v="Naman Tiwari"/>
      </sharedItems>
    </cacheField>
    <cacheField name="Month" numFmtId="0">
      <sharedItems count="3">
        <s v="Jan"/>
        <s v="Feb"/>
        <s v="Mar"/>
      </sharedItems>
    </cacheField>
    <cacheField name="Previous Reading" numFmtId="0">
      <sharedItems containsSemiMixedTypes="0" containsString="0" containsNumber="1" containsInteger="1" minValue="428" maxValue="1476"/>
    </cacheField>
    <cacheField name="Current Reading" numFmtId="0">
      <sharedItems containsSemiMixedTypes="0" containsString="0" containsNumber="1" containsInteger="1" minValue="552" maxValue="1631"/>
    </cacheField>
    <cacheField name="Units Consumed" numFmtId="0">
      <sharedItems containsSemiMixedTypes="0" containsString="0" containsNumber="1" containsInteger="1" minValue="82" maxValue="250"/>
    </cacheField>
    <cacheField name="Fixed Charge" numFmtId="0">
      <sharedItems containsSemiMixedTypes="0" containsString="0" containsNumber="1" containsInteger="1" minValue="100" maxValue="100"/>
    </cacheField>
    <cacheField name="Energy Charge" numFmtId="0">
      <sharedItems containsSemiMixedTypes="0" containsString="0" containsNumber="1" containsInteger="1" minValue="246" maxValue="2000"/>
    </cacheField>
    <cacheField name="Total Bill" numFmtId="0">
      <sharedItems containsSemiMixedTypes="0" containsString="0" containsNumber="1" containsInteger="1" minValue="346" maxValue="2100"/>
    </cacheField>
    <cacheField name="Payment Status" numFmtId="0">
      <sharedItems/>
    </cacheField>
    <cacheField name="Late Fee" numFmtId="0">
      <sharedItems containsSemiMixedTypes="0" containsString="0" containsNumber="1" minValue="0" maxValue="103.80000000000001"/>
    </cacheField>
    <cacheField name="Final Bill" numFmtId="0">
      <sharedItems containsSemiMixedTypes="0" containsString="0" containsNumber="1" minValue="352" maxValue="2179.8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001"/>
    <x v="0"/>
    <x v="0"/>
    <n v="728"/>
    <n v="914"/>
    <n v="186"/>
    <n v="100"/>
    <n v="930"/>
    <n v="1030"/>
    <s v="Pending"/>
    <n v="51.5"/>
    <n v="1081.5"/>
  </r>
  <r>
    <s v="C001"/>
    <x v="0"/>
    <x v="1"/>
    <n v="914"/>
    <n v="1089"/>
    <n v="175"/>
    <n v="100"/>
    <n v="875"/>
    <n v="975"/>
    <s v="Paid"/>
    <n v="0"/>
    <n v="975"/>
  </r>
  <r>
    <s v="C001"/>
    <x v="0"/>
    <x v="2"/>
    <n v="1089"/>
    <n v="1300"/>
    <n v="211"/>
    <n v="100"/>
    <n v="1688"/>
    <n v="1788"/>
    <s v="Pending"/>
    <n v="89.4"/>
    <n v="1877.4"/>
  </r>
  <r>
    <s v="C002"/>
    <x v="1"/>
    <x v="0"/>
    <n v="808"/>
    <n v="952"/>
    <n v="144"/>
    <n v="100"/>
    <n v="720"/>
    <n v="820"/>
    <s v="Paid"/>
    <n v="0"/>
    <n v="820"/>
  </r>
  <r>
    <s v="C002"/>
    <x v="1"/>
    <x v="1"/>
    <n v="952"/>
    <n v="1166"/>
    <n v="214"/>
    <n v="100"/>
    <n v="1712"/>
    <n v="1812"/>
    <s v="Paid"/>
    <n v="0"/>
    <n v="1812"/>
  </r>
  <r>
    <s v="C002"/>
    <x v="1"/>
    <x v="2"/>
    <n v="1166"/>
    <n v="1263"/>
    <n v="97"/>
    <n v="100"/>
    <n v="291"/>
    <n v="391"/>
    <s v="Pending"/>
    <n v="19.55"/>
    <n v="410.55"/>
  </r>
  <r>
    <s v="C003"/>
    <x v="2"/>
    <x v="0"/>
    <n v="1088"/>
    <n v="1320"/>
    <n v="232"/>
    <n v="100"/>
    <n v="1856"/>
    <n v="1956"/>
    <s v="Pending"/>
    <n v="97.800000000000011"/>
    <n v="2053.8000000000002"/>
  </r>
  <r>
    <s v="C003"/>
    <x v="2"/>
    <x v="1"/>
    <n v="1320"/>
    <n v="1411"/>
    <n v="91"/>
    <n v="100"/>
    <n v="273"/>
    <n v="373"/>
    <s v="Pending"/>
    <n v="18.650000000000002"/>
    <n v="391.65"/>
  </r>
  <r>
    <s v="C003"/>
    <x v="2"/>
    <x v="2"/>
    <n v="1411"/>
    <n v="1533"/>
    <n v="122"/>
    <n v="100"/>
    <n v="610"/>
    <n v="710"/>
    <s v="Paid"/>
    <n v="0"/>
    <n v="710"/>
  </r>
  <r>
    <s v="C004"/>
    <x v="3"/>
    <x v="0"/>
    <n v="429"/>
    <n v="639"/>
    <n v="210"/>
    <n v="100"/>
    <n v="1680"/>
    <n v="1780"/>
    <s v="Paid"/>
    <n v="0"/>
    <n v="1780"/>
  </r>
  <r>
    <s v="C004"/>
    <x v="3"/>
    <x v="1"/>
    <n v="639"/>
    <n v="881"/>
    <n v="242"/>
    <n v="100"/>
    <n v="1936"/>
    <n v="2036"/>
    <s v="Paid"/>
    <n v="0"/>
    <n v="2036"/>
  </r>
  <r>
    <s v="C004"/>
    <x v="3"/>
    <x v="2"/>
    <n v="881"/>
    <n v="979"/>
    <n v="98"/>
    <n v="100"/>
    <n v="294"/>
    <n v="394"/>
    <s v="Pending"/>
    <n v="19.700000000000003"/>
    <n v="413.7"/>
  </r>
  <r>
    <s v="C005"/>
    <x v="4"/>
    <x v="0"/>
    <n v="565"/>
    <n v="660"/>
    <n v="95"/>
    <n v="100"/>
    <n v="285"/>
    <n v="385"/>
    <s v="Pending"/>
    <n v="19.25"/>
    <n v="404.25"/>
  </r>
  <r>
    <s v="C005"/>
    <x v="4"/>
    <x v="1"/>
    <n v="660"/>
    <n v="894"/>
    <n v="234"/>
    <n v="100"/>
    <n v="1872"/>
    <n v="1972"/>
    <s v="Paid"/>
    <n v="0"/>
    <n v="1972"/>
  </r>
  <r>
    <s v="C005"/>
    <x v="4"/>
    <x v="2"/>
    <n v="894"/>
    <n v="997"/>
    <n v="103"/>
    <n v="100"/>
    <n v="515"/>
    <n v="615"/>
    <s v="Paid"/>
    <n v="0"/>
    <n v="615"/>
  </r>
  <r>
    <s v="C006"/>
    <x v="5"/>
    <x v="0"/>
    <n v="885"/>
    <n v="988"/>
    <n v="103"/>
    <n v="100"/>
    <n v="515"/>
    <n v="615"/>
    <s v="Paid"/>
    <n v="0"/>
    <n v="615"/>
  </r>
  <r>
    <s v="C006"/>
    <x v="5"/>
    <x v="1"/>
    <n v="988"/>
    <n v="1179"/>
    <n v="191"/>
    <n v="100"/>
    <n v="955"/>
    <n v="1055"/>
    <s v="Paid"/>
    <n v="0"/>
    <n v="1055"/>
  </r>
  <r>
    <s v="C006"/>
    <x v="5"/>
    <x v="2"/>
    <n v="1179"/>
    <n v="1278"/>
    <n v="99"/>
    <n v="100"/>
    <n v="297"/>
    <n v="397"/>
    <s v="Paid"/>
    <n v="0"/>
    <n v="397"/>
  </r>
  <r>
    <s v="C007"/>
    <x v="6"/>
    <x v="0"/>
    <n v="969"/>
    <n v="1133"/>
    <n v="164"/>
    <n v="100"/>
    <n v="820"/>
    <n v="920"/>
    <s v="Paid"/>
    <n v="0"/>
    <n v="920"/>
  </r>
  <r>
    <s v="C007"/>
    <x v="6"/>
    <x v="1"/>
    <n v="1133"/>
    <n v="1323"/>
    <n v="190"/>
    <n v="100"/>
    <n v="950"/>
    <n v="1050"/>
    <s v="Paid"/>
    <n v="0"/>
    <n v="1050"/>
  </r>
  <r>
    <s v="C007"/>
    <x v="6"/>
    <x v="2"/>
    <n v="1323"/>
    <n v="1449"/>
    <n v="126"/>
    <n v="100"/>
    <n v="630"/>
    <n v="730"/>
    <s v="Pending"/>
    <n v="36.5"/>
    <n v="766.5"/>
  </r>
  <r>
    <s v="C008"/>
    <x v="7"/>
    <x v="0"/>
    <n v="1141"/>
    <n v="1242"/>
    <n v="101"/>
    <n v="100"/>
    <n v="505"/>
    <n v="605"/>
    <s v="Pending"/>
    <n v="30.25"/>
    <n v="635.25"/>
  </r>
  <r>
    <s v="C008"/>
    <x v="7"/>
    <x v="1"/>
    <n v="1242"/>
    <n v="1382"/>
    <n v="140"/>
    <n v="100"/>
    <n v="700"/>
    <n v="800"/>
    <s v="Pending"/>
    <n v="40"/>
    <n v="840"/>
  </r>
  <r>
    <s v="C008"/>
    <x v="7"/>
    <x v="2"/>
    <n v="1382"/>
    <n v="1464"/>
    <n v="82"/>
    <n v="100"/>
    <n v="246"/>
    <n v="346"/>
    <s v="Pending"/>
    <n v="17.3"/>
    <n v="363.3"/>
  </r>
  <r>
    <s v="C009"/>
    <x v="8"/>
    <x v="0"/>
    <n v="1103"/>
    <n v="1233"/>
    <n v="130"/>
    <n v="100"/>
    <n v="650"/>
    <n v="750"/>
    <s v="Paid"/>
    <n v="0"/>
    <n v="750"/>
  </r>
  <r>
    <s v="C009"/>
    <x v="8"/>
    <x v="1"/>
    <n v="1233"/>
    <n v="1350"/>
    <n v="117"/>
    <n v="100"/>
    <n v="585"/>
    <n v="685"/>
    <s v="Pending"/>
    <n v="34.25"/>
    <n v="719.25"/>
  </r>
  <r>
    <s v="C009"/>
    <x v="8"/>
    <x v="2"/>
    <n v="1350"/>
    <n v="1443"/>
    <n v="93"/>
    <n v="100"/>
    <n v="279"/>
    <n v="379"/>
    <s v="Pending"/>
    <n v="18.95"/>
    <n v="397.95"/>
  </r>
  <r>
    <s v="C010"/>
    <x v="9"/>
    <x v="0"/>
    <n v="1024"/>
    <n v="1231"/>
    <n v="207"/>
    <n v="100"/>
    <n v="1656"/>
    <n v="1756"/>
    <s v="Paid"/>
    <n v="0"/>
    <n v="1756"/>
  </r>
  <r>
    <s v="C010"/>
    <x v="9"/>
    <x v="1"/>
    <n v="1231"/>
    <n v="1476"/>
    <n v="245"/>
    <n v="100"/>
    <n v="1960"/>
    <n v="2060"/>
    <s v="Paid"/>
    <n v="0"/>
    <n v="2060"/>
  </r>
  <r>
    <s v="C010"/>
    <x v="9"/>
    <x v="2"/>
    <n v="1476"/>
    <n v="1631"/>
    <n v="155"/>
    <n v="100"/>
    <n v="775"/>
    <n v="875"/>
    <s v="Pending"/>
    <n v="43.75"/>
    <n v="918.75"/>
  </r>
  <r>
    <s v="C011"/>
    <x v="10"/>
    <x v="0"/>
    <n v="1043"/>
    <n v="1202"/>
    <n v="159"/>
    <n v="100"/>
    <n v="795"/>
    <n v="895"/>
    <s v="Pending"/>
    <n v="44.75"/>
    <n v="939.75"/>
  </r>
  <r>
    <s v="C011"/>
    <x v="10"/>
    <x v="1"/>
    <n v="1202"/>
    <n v="1429"/>
    <n v="227"/>
    <n v="100"/>
    <n v="1816"/>
    <n v="1916"/>
    <s v="Paid"/>
    <n v="0"/>
    <n v="1916"/>
  </r>
  <r>
    <s v="C011"/>
    <x v="10"/>
    <x v="2"/>
    <n v="1429"/>
    <n v="1629"/>
    <n v="200"/>
    <n v="100"/>
    <n v="1000"/>
    <n v="1100"/>
    <s v="Pending"/>
    <n v="55"/>
    <n v="1155"/>
  </r>
  <r>
    <s v="C012"/>
    <x v="11"/>
    <x v="0"/>
    <n v="528"/>
    <n v="632"/>
    <n v="104"/>
    <n v="100"/>
    <n v="520"/>
    <n v="620"/>
    <s v="Paid"/>
    <n v="0"/>
    <n v="620"/>
  </r>
  <r>
    <s v="C012"/>
    <x v="11"/>
    <x v="1"/>
    <n v="632"/>
    <n v="722"/>
    <n v="90"/>
    <n v="100"/>
    <n v="270"/>
    <n v="370"/>
    <s v="Pending"/>
    <n v="18.5"/>
    <n v="388.5"/>
  </r>
  <r>
    <s v="C012"/>
    <x v="11"/>
    <x v="2"/>
    <n v="722"/>
    <n v="828"/>
    <n v="106"/>
    <n v="100"/>
    <n v="530"/>
    <n v="630"/>
    <s v="Pending"/>
    <n v="31.5"/>
    <n v="661.5"/>
  </r>
  <r>
    <s v="C013"/>
    <x v="12"/>
    <x v="0"/>
    <n v="428"/>
    <n v="552"/>
    <n v="124"/>
    <n v="100"/>
    <n v="620"/>
    <n v="720"/>
    <s v="Pending"/>
    <n v="36"/>
    <n v="756"/>
  </r>
  <r>
    <s v="C013"/>
    <x v="12"/>
    <x v="1"/>
    <n v="552"/>
    <n v="645"/>
    <n v="93"/>
    <n v="100"/>
    <n v="279"/>
    <n v="379"/>
    <s v="Paid"/>
    <n v="0"/>
    <n v="379"/>
  </r>
  <r>
    <s v="C013"/>
    <x v="12"/>
    <x v="2"/>
    <n v="645"/>
    <n v="878"/>
    <n v="233"/>
    <n v="100"/>
    <n v="1864"/>
    <n v="1964"/>
    <s v="Paid"/>
    <n v="0"/>
    <n v="1964"/>
  </r>
  <r>
    <s v="C014"/>
    <x v="13"/>
    <x v="0"/>
    <n v="697"/>
    <n v="937"/>
    <n v="240"/>
    <n v="100"/>
    <n v="1920"/>
    <n v="2020"/>
    <s v="Pending"/>
    <n v="101"/>
    <n v="2121"/>
  </r>
  <r>
    <s v="C014"/>
    <x v="13"/>
    <x v="1"/>
    <n v="937"/>
    <n v="1025"/>
    <n v="88"/>
    <n v="100"/>
    <n v="264"/>
    <n v="364"/>
    <s v="Pending"/>
    <n v="18.2"/>
    <n v="382.2"/>
  </r>
  <r>
    <s v="C014"/>
    <x v="13"/>
    <x v="2"/>
    <n v="1025"/>
    <n v="1255"/>
    <n v="230"/>
    <n v="100"/>
    <n v="1840"/>
    <n v="1940"/>
    <s v="Pending"/>
    <n v="97"/>
    <n v="2037"/>
  </r>
  <r>
    <s v="C015"/>
    <x v="14"/>
    <x v="0"/>
    <n v="999"/>
    <n v="1157"/>
    <n v="158"/>
    <n v="100"/>
    <n v="790"/>
    <n v="890"/>
    <s v="Paid"/>
    <n v="0"/>
    <n v="890"/>
  </r>
  <r>
    <s v="C015"/>
    <x v="14"/>
    <x v="1"/>
    <n v="1157"/>
    <n v="1338"/>
    <n v="181"/>
    <n v="100"/>
    <n v="905"/>
    <n v="1005"/>
    <s v="Pending"/>
    <n v="50.25"/>
    <n v="1055.25"/>
  </r>
  <r>
    <s v="C015"/>
    <x v="14"/>
    <x v="2"/>
    <n v="1338"/>
    <n v="1567"/>
    <n v="229"/>
    <n v="100"/>
    <n v="1832"/>
    <n v="1932"/>
    <s v="Paid"/>
    <n v="0"/>
    <n v="1932"/>
  </r>
  <r>
    <s v="C016"/>
    <x v="15"/>
    <x v="0"/>
    <n v="740"/>
    <n v="932"/>
    <n v="192"/>
    <n v="100"/>
    <n v="960"/>
    <n v="1060"/>
    <s v="Pending"/>
    <n v="53"/>
    <n v="1113"/>
  </r>
  <r>
    <s v="C016"/>
    <x v="15"/>
    <x v="1"/>
    <n v="932"/>
    <n v="1179"/>
    <n v="247"/>
    <n v="100"/>
    <n v="1976"/>
    <n v="2076"/>
    <s v="Pending"/>
    <n v="103.80000000000001"/>
    <n v="2179.8000000000002"/>
  </r>
  <r>
    <s v="C016"/>
    <x v="15"/>
    <x v="2"/>
    <n v="1179"/>
    <n v="1337"/>
    <n v="158"/>
    <n v="100"/>
    <n v="790"/>
    <n v="890"/>
    <s v="Pending"/>
    <n v="44.5"/>
    <n v="934.5"/>
  </r>
  <r>
    <s v="C017"/>
    <x v="16"/>
    <x v="0"/>
    <n v="521"/>
    <n v="680"/>
    <n v="159"/>
    <n v="100"/>
    <n v="795"/>
    <n v="895"/>
    <s v="Paid"/>
    <n v="0"/>
    <n v="895"/>
  </r>
  <r>
    <s v="C017"/>
    <x v="16"/>
    <x v="1"/>
    <n v="680"/>
    <n v="790"/>
    <n v="110"/>
    <n v="100"/>
    <n v="550"/>
    <n v="650"/>
    <s v="Paid"/>
    <n v="0"/>
    <n v="650"/>
  </r>
  <r>
    <s v="C017"/>
    <x v="16"/>
    <x v="2"/>
    <n v="790"/>
    <n v="1007"/>
    <n v="217"/>
    <n v="100"/>
    <n v="1736"/>
    <n v="1836"/>
    <s v="Pending"/>
    <n v="91.800000000000011"/>
    <n v="1927.8"/>
  </r>
  <r>
    <s v="C018"/>
    <x v="17"/>
    <x v="0"/>
    <n v="1112"/>
    <n v="1247"/>
    <n v="135"/>
    <n v="100"/>
    <n v="675"/>
    <n v="775"/>
    <s v="Paid"/>
    <n v="0"/>
    <n v="775"/>
  </r>
  <r>
    <s v="C018"/>
    <x v="17"/>
    <x v="1"/>
    <n v="1247"/>
    <n v="1417"/>
    <n v="170"/>
    <n v="100"/>
    <n v="850"/>
    <n v="950"/>
    <s v="Paid"/>
    <n v="0"/>
    <n v="950"/>
  </r>
  <r>
    <s v="C018"/>
    <x v="17"/>
    <x v="2"/>
    <n v="1417"/>
    <n v="1540"/>
    <n v="123"/>
    <n v="100"/>
    <n v="615"/>
    <n v="715"/>
    <s v="Paid"/>
    <n v="0"/>
    <n v="715"/>
  </r>
  <r>
    <s v="C019"/>
    <x v="18"/>
    <x v="0"/>
    <n v="761"/>
    <n v="872"/>
    <n v="111"/>
    <n v="100"/>
    <n v="555"/>
    <n v="655"/>
    <s v="Paid"/>
    <n v="0"/>
    <n v="655"/>
  </r>
  <r>
    <s v="C019"/>
    <x v="18"/>
    <x v="1"/>
    <n v="872"/>
    <n v="980"/>
    <n v="108"/>
    <n v="100"/>
    <n v="540"/>
    <n v="640"/>
    <s v="Pending"/>
    <n v="32"/>
    <n v="672"/>
  </r>
  <r>
    <s v="C019"/>
    <x v="18"/>
    <x v="2"/>
    <n v="980"/>
    <n v="1097"/>
    <n v="117"/>
    <n v="100"/>
    <n v="585"/>
    <n v="685"/>
    <s v="Paid"/>
    <n v="0"/>
    <n v="685"/>
  </r>
  <r>
    <s v="C020"/>
    <x v="19"/>
    <x v="0"/>
    <n v="958"/>
    <n v="1151"/>
    <n v="193"/>
    <n v="100"/>
    <n v="965"/>
    <n v="1065"/>
    <s v="Pending"/>
    <n v="53.25"/>
    <n v="1118.25"/>
  </r>
  <r>
    <s v="C020"/>
    <x v="19"/>
    <x v="1"/>
    <n v="1151"/>
    <n v="1285"/>
    <n v="134"/>
    <n v="100"/>
    <n v="670"/>
    <n v="770"/>
    <s v="Paid"/>
    <n v="0"/>
    <n v="770"/>
  </r>
  <r>
    <s v="C020"/>
    <x v="19"/>
    <x v="2"/>
    <n v="1285"/>
    <n v="1485"/>
    <n v="200"/>
    <n v="100"/>
    <n v="1000"/>
    <n v="1100"/>
    <s v="Paid"/>
    <n v="0"/>
    <n v="1100"/>
  </r>
  <r>
    <s v="C021"/>
    <x v="20"/>
    <x v="0"/>
    <n v="861"/>
    <n v="1077"/>
    <n v="216"/>
    <n v="100"/>
    <n v="1728"/>
    <n v="1828"/>
    <s v="Paid"/>
    <n v="0"/>
    <n v="1828"/>
  </r>
  <r>
    <s v="C021"/>
    <x v="20"/>
    <x v="1"/>
    <n v="1077"/>
    <n v="1257"/>
    <n v="180"/>
    <n v="100"/>
    <n v="900"/>
    <n v="1000"/>
    <s v="Paid"/>
    <n v="0"/>
    <n v="1000"/>
  </r>
  <r>
    <s v="C021"/>
    <x v="20"/>
    <x v="2"/>
    <n v="1257"/>
    <n v="1351"/>
    <n v="94"/>
    <n v="100"/>
    <n v="282"/>
    <n v="382"/>
    <s v="Pending"/>
    <n v="19.100000000000001"/>
    <n v="401.1"/>
  </r>
  <r>
    <s v="C022"/>
    <x v="21"/>
    <x v="0"/>
    <n v="887"/>
    <n v="1017"/>
    <n v="130"/>
    <n v="100"/>
    <n v="650"/>
    <n v="750"/>
    <s v="Paid"/>
    <n v="0"/>
    <n v="750"/>
  </r>
  <r>
    <s v="C022"/>
    <x v="21"/>
    <x v="1"/>
    <n v="1017"/>
    <n v="1204"/>
    <n v="187"/>
    <n v="100"/>
    <n v="935"/>
    <n v="1035"/>
    <s v="Pending"/>
    <n v="51.75"/>
    <n v="1086.75"/>
  </r>
  <r>
    <s v="C022"/>
    <x v="21"/>
    <x v="2"/>
    <n v="1204"/>
    <n v="1288"/>
    <n v="84"/>
    <n v="100"/>
    <n v="252"/>
    <n v="352"/>
    <s v="Paid"/>
    <n v="0"/>
    <n v="352"/>
  </r>
  <r>
    <s v="C023"/>
    <x v="22"/>
    <x v="0"/>
    <n v="966"/>
    <n v="1114"/>
    <n v="148"/>
    <n v="100"/>
    <n v="740"/>
    <n v="840"/>
    <s v="Pending"/>
    <n v="42"/>
    <n v="882"/>
  </r>
  <r>
    <s v="C023"/>
    <x v="22"/>
    <x v="1"/>
    <n v="1114"/>
    <n v="1319"/>
    <n v="205"/>
    <n v="100"/>
    <n v="1640"/>
    <n v="1740"/>
    <s v="Pending"/>
    <n v="87"/>
    <n v="1827"/>
  </r>
  <r>
    <s v="C023"/>
    <x v="22"/>
    <x v="2"/>
    <n v="1319"/>
    <n v="1515"/>
    <n v="196"/>
    <n v="100"/>
    <n v="980"/>
    <n v="1080"/>
    <s v="Pending"/>
    <n v="54"/>
    <n v="1134"/>
  </r>
  <r>
    <s v="C024"/>
    <x v="23"/>
    <x v="0"/>
    <n v="542"/>
    <n v="700"/>
    <n v="158"/>
    <n v="100"/>
    <n v="790"/>
    <n v="890"/>
    <s v="Paid"/>
    <n v="0"/>
    <n v="890"/>
  </r>
  <r>
    <s v="C024"/>
    <x v="23"/>
    <x v="1"/>
    <n v="700"/>
    <n v="817"/>
    <n v="117"/>
    <n v="100"/>
    <n v="585"/>
    <n v="685"/>
    <s v="Pending"/>
    <n v="34.25"/>
    <n v="719.25"/>
  </r>
  <r>
    <s v="C024"/>
    <x v="23"/>
    <x v="2"/>
    <n v="817"/>
    <n v="1033"/>
    <n v="216"/>
    <n v="100"/>
    <n v="1728"/>
    <n v="1828"/>
    <s v="Paid"/>
    <n v="0"/>
    <n v="1828"/>
  </r>
  <r>
    <s v="C025"/>
    <x v="24"/>
    <x v="0"/>
    <n v="881"/>
    <n v="1009"/>
    <n v="128"/>
    <n v="100"/>
    <n v="640"/>
    <n v="740"/>
    <s v="Paid"/>
    <n v="0"/>
    <n v="740"/>
  </r>
  <r>
    <s v="C025"/>
    <x v="24"/>
    <x v="1"/>
    <n v="1009"/>
    <n v="1169"/>
    <n v="160"/>
    <n v="100"/>
    <n v="800"/>
    <n v="900"/>
    <s v="Pending"/>
    <n v="45"/>
    <n v="945"/>
  </r>
  <r>
    <s v="C025"/>
    <x v="24"/>
    <x v="2"/>
    <n v="1169"/>
    <n v="1418"/>
    <n v="249"/>
    <n v="100"/>
    <n v="1992"/>
    <n v="2092"/>
    <s v="Paid"/>
    <n v="0"/>
    <n v="2092"/>
  </r>
  <r>
    <s v="C026"/>
    <x v="25"/>
    <x v="0"/>
    <n v="792"/>
    <n v="987"/>
    <n v="195"/>
    <n v="100"/>
    <n v="975"/>
    <n v="1075"/>
    <s v="Paid"/>
    <n v="0"/>
    <n v="1075"/>
  </r>
  <r>
    <s v="C026"/>
    <x v="25"/>
    <x v="1"/>
    <n v="987"/>
    <n v="1126"/>
    <n v="139"/>
    <n v="100"/>
    <n v="695"/>
    <n v="795"/>
    <s v="Pending"/>
    <n v="39.75"/>
    <n v="834.75"/>
  </r>
  <r>
    <s v="C026"/>
    <x v="25"/>
    <x v="2"/>
    <n v="1126"/>
    <n v="1284"/>
    <n v="158"/>
    <n v="100"/>
    <n v="790"/>
    <n v="890"/>
    <s v="Pending"/>
    <n v="44.5"/>
    <n v="934.5"/>
  </r>
  <r>
    <s v="C027"/>
    <x v="26"/>
    <x v="0"/>
    <n v="1087"/>
    <n v="1281"/>
    <n v="194"/>
    <n v="100"/>
    <n v="970"/>
    <n v="1070"/>
    <s v="Paid"/>
    <n v="0"/>
    <n v="1070"/>
  </r>
  <r>
    <s v="C027"/>
    <x v="26"/>
    <x v="1"/>
    <n v="1281"/>
    <n v="1377"/>
    <n v="96"/>
    <n v="100"/>
    <n v="288"/>
    <n v="388"/>
    <s v="Pending"/>
    <n v="19.400000000000002"/>
    <n v="407.4"/>
  </r>
  <r>
    <s v="C027"/>
    <x v="26"/>
    <x v="2"/>
    <n v="1377"/>
    <n v="1543"/>
    <n v="166"/>
    <n v="100"/>
    <n v="830"/>
    <n v="930"/>
    <s v="Paid"/>
    <n v="0"/>
    <n v="930"/>
  </r>
  <r>
    <s v="C028"/>
    <x v="27"/>
    <x v="0"/>
    <n v="848"/>
    <n v="1011"/>
    <n v="163"/>
    <n v="100"/>
    <n v="815"/>
    <n v="915"/>
    <s v="Pending"/>
    <n v="45.75"/>
    <n v="960.75"/>
  </r>
  <r>
    <s v="C028"/>
    <x v="27"/>
    <x v="1"/>
    <n v="1011"/>
    <n v="1179"/>
    <n v="168"/>
    <n v="100"/>
    <n v="840"/>
    <n v="940"/>
    <s v="Pending"/>
    <n v="47"/>
    <n v="987"/>
  </r>
  <r>
    <s v="C028"/>
    <x v="27"/>
    <x v="2"/>
    <n v="1179"/>
    <n v="1429"/>
    <n v="250"/>
    <n v="100"/>
    <n v="2000"/>
    <n v="2100"/>
    <s v="Paid"/>
    <n v="0"/>
    <n v="2100"/>
  </r>
  <r>
    <s v="C029"/>
    <x v="28"/>
    <x v="0"/>
    <n v="670"/>
    <n v="896"/>
    <n v="226"/>
    <n v="100"/>
    <n v="1808"/>
    <n v="1908"/>
    <s v="Pending"/>
    <n v="95.4"/>
    <n v="2003.4"/>
  </r>
  <r>
    <s v="C029"/>
    <x v="28"/>
    <x v="1"/>
    <n v="896"/>
    <n v="1101"/>
    <n v="205"/>
    <n v="100"/>
    <n v="1640"/>
    <n v="1740"/>
    <s v="Pending"/>
    <n v="87"/>
    <n v="1827"/>
  </r>
  <r>
    <s v="C029"/>
    <x v="28"/>
    <x v="2"/>
    <n v="1101"/>
    <n v="1238"/>
    <n v="137"/>
    <n v="100"/>
    <n v="685"/>
    <n v="785"/>
    <s v="Pending"/>
    <n v="39.25"/>
    <n v="824.25"/>
  </r>
  <r>
    <s v="C030"/>
    <x v="29"/>
    <x v="0"/>
    <n v="985"/>
    <n v="1109"/>
    <n v="124"/>
    <n v="100"/>
    <n v="620"/>
    <n v="720"/>
    <s v="Paid"/>
    <n v="0"/>
    <n v="720"/>
  </r>
  <r>
    <s v="C030"/>
    <x v="29"/>
    <x v="1"/>
    <n v="1109"/>
    <n v="1213"/>
    <n v="104"/>
    <n v="100"/>
    <n v="520"/>
    <n v="620"/>
    <s v="Paid"/>
    <n v="0"/>
    <n v="620"/>
  </r>
  <r>
    <s v="C030"/>
    <x v="29"/>
    <x v="2"/>
    <n v="1213"/>
    <n v="1441"/>
    <n v="228"/>
    <n v="100"/>
    <n v="1824"/>
    <n v="1924"/>
    <s v="Paid"/>
    <n v="0"/>
    <n v="19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A381E-0897-4648-8564-FBEEE60ADF9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2">
    <pivotField showAll="0"/>
    <pivotField axis="axisRow" showAll="0">
      <items count="31">
        <item x="6"/>
        <item x="24"/>
        <item x="0"/>
        <item x="19"/>
        <item x="14"/>
        <item x="12"/>
        <item x="17"/>
        <item x="20"/>
        <item x="28"/>
        <item x="8"/>
        <item x="21"/>
        <item x="18"/>
        <item x="7"/>
        <item x="29"/>
        <item x="1"/>
        <item x="15"/>
        <item x="11"/>
        <item x="5"/>
        <item x="27"/>
        <item x="22"/>
        <item x="2"/>
        <item x="3"/>
        <item x="10"/>
        <item x="4"/>
        <item x="23"/>
        <item x="25"/>
        <item x="9"/>
        <item x="13"/>
        <item x="16"/>
        <item x="26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Bill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>
      <selection activeCell="N19" sqref="N19"/>
    </sheetView>
  </sheetViews>
  <sheetFormatPr defaultRowHeight="14.4" x14ac:dyDescent="0.3"/>
  <cols>
    <col min="1" max="1" width="11.33203125" bestFit="1" customWidth="1"/>
    <col min="2" max="2" width="16.5546875" bestFit="1" customWidth="1"/>
    <col min="3" max="3" width="6.77734375" bestFit="1" customWidth="1"/>
    <col min="4" max="4" width="15.5546875" bestFit="1" customWidth="1"/>
    <col min="5" max="5" width="14.6640625" bestFit="1" customWidth="1"/>
    <col min="6" max="6" width="14.88671875" bestFit="1" customWidth="1"/>
    <col min="7" max="7" width="14.88671875" customWidth="1"/>
    <col min="8" max="8" width="13.21875" bestFit="1" customWidth="1"/>
    <col min="9" max="9" width="10.33203125" style="8" bestFit="1" customWidth="1"/>
    <col min="10" max="10" width="14.33203125" style="2" bestFit="1" customWidth="1"/>
    <col min="11" max="11" width="8.88671875" style="8"/>
    <col min="12" max="12" width="10.33203125" style="2" bestFit="1" customWidth="1"/>
    <col min="15" max="15" width="7.44140625" bestFit="1" customWidth="1"/>
    <col min="16" max="16" width="7" bestFit="1" customWidth="1"/>
    <col min="17" max="17" width="11.33203125" bestFit="1" customWidth="1"/>
    <col min="18" max="18" width="17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9" t="s">
        <v>75</v>
      </c>
      <c r="L1" s="3" t="s">
        <v>76</v>
      </c>
    </row>
    <row r="2" spans="1:20" x14ac:dyDescent="0.3">
      <c r="A2" s="2" t="s">
        <v>10</v>
      </c>
      <c r="B2" s="2" t="s">
        <v>11</v>
      </c>
      <c r="C2" s="2" t="s">
        <v>12</v>
      </c>
      <c r="D2" s="2">
        <v>728</v>
      </c>
      <c r="E2" s="2">
        <v>914</v>
      </c>
      <c r="F2" s="2">
        <f>E2-D2</f>
        <v>186</v>
      </c>
      <c r="G2" s="2">
        <v>100</v>
      </c>
      <c r="H2" s="2">
        <f>IF(F2&lt;=100,F2*3,IF(F2&lt;=200,F2*5,F2*8))</f>
        <v>930</v>
      </c>
      <c r="I2" s="8">
        <f>G2+H2</f>
        <v>1030</v>
      </c>
      <c r="J2" s="2" t="s">
        <v>13</v>
      </c>
      <c r="K2" s="8">
        <f>IF(J2="Pending",I2*0.05,0)</f>
        <v>51.5</v>
      </c>
      <c r="L2" s="8">
        <f>I2+K2</f>
        <v>1081.5</v>
      </c>
    </row>
    <row r="3" spans="1:20" x14ac:dyDescent="0.3">
      <c r="A3" s="2" t="s">
        <v>10</v>
      </c>
      <c r="B3" s="2" t="s">
        <v>11</v>
      </c>
      <c r="C3" s="2" t="s">
        <v>14</v>
      </c>
      <c r="D3" s="2">
        <v>914</v>
      </c>
      <c r="E3" s="2">
        <v>1089</v>
      </c>
      <c r="F3" s="2">
        <f t="shared" ref="F3:F66" si="0">E3-D3</f>
        <v>175</v>
      </c>
      <c r="G3" s="2">
        <v>100</v>
      </c>
      <c r="H3" s="2">
        <f t="shared" ref="H3:H66" si="1">IF(F3&lt;=100,F3*3,IF(F3&lt;=200,F3*5,F3*8))</f>
        <v>875</v>
      </c>
      <c r="I3" s="8">
        <f t="shared" ref="I3:I66" si="2">G3+H3</f>
        <v>975</v>
      </c>
      <c r="J3" s="2" t="s">
        <v>15</v>
      </c>
      <c r="K3" s="8">
        <f t="shared" ref="K3:K66" si="3">IF(J3="Pending",I3*0.05,0)</f>
        <v>0</v>
      </c>
      <c r="L3" s="8">
        <f t="shared" ref="L3:L66" si="4">I3+K3</f>
        <v>975</v>
      </c>
      <c r="O3" t="s">
        <v>13</v>
      </c>
      <c r="P3" t="s">
        <v>15</v>
      </c>
      <c r="R3" s="4" t="s">
        <v>77</v>
      </c>
      <c r="S3" s="4"/>
      <c r="T3" s="4"/>
    </row>
    <row r="4" spans="1:20" x14ac:dyDescent="0.3">
      <c r="A4" s="2" t="s">
        <v>10</v>
      </c>
      <c r="B4" s="2" t="s">
        <v>11</v>
      </c>
      <c r="C4" s="2" t="s">
        <v>16</v>
      </c>
      <c r="D4" s="2">
        <v>1089</v>
      </c>
      <c r="E4" s="2">
        <v>1300</v>
      </c>
      <c r="F4" s="2">
        <f t="shared" si="0"/>
        <v>211</v>
      </c>
      <c r="G4" s="2">
        <v>100</v>
      </c>
      <c r="H4" s="2">
        <f t="shared" si="1"/>
        <v>1688</v>
      </c>
      <c r="I4" s="8">
        <f t="shared" si="2"/>
        <v>1788</v>
      </c>
      <c r="J4" s="2" t="s">
        <v>13</v>
      </c>
      <c r="K4" s="8">
        <f t="shared" si="3"/>
        <v>89.4</v>
      </c>
      <c r="L4" s="8">
        <f t="shared" si="4"/>
        <v>1877.4</v>
      </c>
      <c r="O4">
        <f>COUNTIF($J$2:$J$91,O3)</f>
        <v>44</v>
      </c>
      <c r="P4">
        <f>COUNTIF($J$2:$J$91,P3)</f>
        <v>46</v>
      </c>
      <c r="R4">
        <f>SUM(F2:F91)</f>
        <v>14454</v>
      </c>
    </row>
    <row r="5" spans="1:20" x14ac:dyDescent="0.3">
      <c r="A5" s="2" t="s">
        <v>17</v>
      </c>
      <c r="B5" s="2" t="s">
        <v>18</v>
      </c>
      <c r="C5" s="2" t="s">
        <v>12</v>
      </c>
      <c r="D5" s="2">
        <v>808</v>
      </c>
      <c r="E5" s="2">
        <v>952</v>
      </c>
      <c r="F5" s="2">
        <f t="shared" si="0"/>
        <v>144</v>
      </c>
      <c r="G5" s="2">
        <v>100</v>
      </c>
      <c r="H5" s="2">
        <f t="shared" si="1"/>
        <v>720</v>
      </c>
      <c r="I5" s="8">
        <f t="shared" si="2"/>
        <v>820</v>
      </c>
      <c r="J5" s="2" t="s">
        <v>15</v>
      </c>
      <c r="K5" s="8">
        <f t="shared" si="3"/>
        <v>0</v>
      </c>
      <c r="L5" s="8">
        <f t="shared" si="4"/>
        <v>820</v>
      </c>
    </row>
    <row r="6" spans="1:20" x14ac:dyDescent="0.3">
      <c r="A6" s="2" t="s">
        <v>17</v>
      </c>
      <c r="B6" s="2" t="s">
        <v>18</v>
      </c>
      <c r="C6" s="2" t="s">
        <v>14</v>
      </c>
      <c r="D6" s="2">
        <v>952</v>
      </c>
      <c r="E6" s="2">
        <v>1166</v>
      </c>
      <c r="F6" s="2">
        <f t="shared" si="0"/>
        <v>214</v>
      </c>
      <c r="G6" s="2">
        <v>100</v>
      </c>
      <c r="H6" s="2">
        <f t="shared" si="1"/>
        <v>1712</v>
      </c>
      <c r="I6" s="8">
        <f t="shared" si="2"/>
        <v>1812</v>
      </c>
      <c r="J6" s="2" t="s">
        <v>15</v>
      </c>
      <c r="K6" s="8">
        <f t="shared" si="3"/>
        <v>0</v>
      </c>
      <c r="L6" s="8">
        <f t="shared" si="4"/>
        <v>1812</v>
      </c>
    </row>
    <row r="7" spans="1:20" x14ac:dyDescent="0.3">
      <c r="A7" s="2" t="s">
        <v>17</v>
      </c>
      <c r="B7" s="2" t="s">
        <v>18</v>
      </c>
      <c r="C7" s="2" t="s">
        <v>16</v>
      </c>
      <c r="D7" s="2">
        <v>1166</v>
      </c>
      <c r="E7" s="2">
        <v>1263</v>
      </c>
      <c r="F7" s="2">
        <f t="shared" si="0"/>
        <v>97</v>
      </c>
      <c r="G7" s="2">
        <v>100</v>
      </c>
      <c r="H7" s="2">
        <f t="shared" si="1"/>
        <v>291</v>
      </c>
      <c r="I7" s="8">
        <f t="shared" si="2"/>
        <v>391</v>
      </c>
      <c r="J7" s="2" t="s">
        <v>13</v>
      </c>
      <c r="K7" s="8">
        <f t="shared" si="3"/>
        <v>19.55</v>
      </c>
      <c r="L7" s="8">
        <f t="shared" si="4"/>
        <v>410.55</v>
      </c>
      <c r="Q7" t="s">
        <v>11</v>
      </c>
      <c r="R7" t="s">
        <v>81</v>
      </c>
    </row>
    <row r="8" spans="1:20" x14ac:dyDescent="0.3">
      <c r="A8" s="2" t="s">
        <v>19</v>
      </c>
      <c r="B8" s="2" t="s">
        <v>20</v>
      </c>
      <c r="C8" s="2" t="s">
        <v>12</v>
      </c>
      <c r="D8" s="2">
        <v>1088</v>
      </c>
      <c r="E8" s="2">
        <v>1320</v>
      </c>
      <c r="F8" s="2">
        <f t="shared" si="0"/>
        <v>232</v>
      </c>
      <c r="G8" s="2">
        <v>100</v>
      </c>
      <c r="H8" s="2">
        <f t="shared" si="1"/>
        <v>1856</v>
      </c>
      <c r="I8" s="8">
        <f t="shared" si="2"/>
        <v>1956</v>
      </c>
      <c r="J8" s="2" t="s">
        <v>13</v>
      </c>
      <c r="K8" s="8">
        <f t="shared" si="3"/>
        <v>97.800000000000011</v>
      </c>
      <c r="L8" s="8">
        <f t="shared" si="4"/>
        <v>2053.8000000000002</v>
      </c>
      <c r="R8">
        <f>SUMIFS(I2:I91,B2:B91,Q7)</f>
        <v>3793</v>
      </c>
    </row>
    <row r="9" spans="1:20" x14ac:dyDescent="0.3">
      <c r="A9" s="2" t="s">
        <v>19</v>
      </c>
      <c r="B9" s="2" t="s">
        <v>20</v>
      </c>
      <c r="C9" s="2" t="s">
        <v>14</v>
      </c>
      <c r="D9" s="2">
        <v>1320</v>
      </c>
      <c r="E9" s="2">
        <v>1411</v>
      </c>
      <c r="F9" s="2">
        <f t="shared" si="0"/>
        <v>91</v>
      </c>
      <c r="G9" s="2">
        <v>100</v>
      </c>
      <c r="H9" s="2">
        <f t="shared" si="1"/>
        <v>273</v>
      </c>
      <c r="I9" s="8">
        <f t="shared" si="2"/>
        <v>373</v>
      </c>
      <c r="J9" s="2" t="s">
        <v>13</v>
      </c>
      <c r="K9" s="8">
        <f t="shared" si="3"/>
        <v>18.650000000000002</v>
      </c>
      <c r="L9" s="8">
        <f t="shared" si="4"/>
        <v>391.65</v>
      </c>
    </row>
    <row r="10" spans="1:20" x14ac:dyDescent="0.3">
      <c r="A10" s="2" t="s">
        <v>19</v>
      </c>
      <c r="B10" s="2" t="s">
        <v>20</v>
      </c>
      <c r="C10" s="2" t="s">
        <v>16</v>
      </c>
      <c r="D10" s="2">
        <v>1411</v>
      </c>
      <c r="E10" s="2">
        <v>1533</v>
      </c>
      <c r="F10" s="2">
        <f t="shared" si="0"/>
        <v>122</v>
      </c>
      <c r="G10" s="2">
        <v>100</v>
      </c>
      <c r="H10" s="2">
        <f t="shared" si="1"/>
        <v>610</v>
      </c>
      <c r="I10" s="8">
        <f t="shared" si="2"/>
        <v>710</v>
      </c>
      <c r="J10" s="2" t="s">
        <v>15</v>
      </c>
      <c r="K10" s="8">
        <f t="shared" si="3"/>
        <v>0</v>
      </c>
      <c r="L10" s="8">
        <f t="shared" si="4"/>
        <v>710</v>
      </c>
    </row>
    <row r="11" spans="1:20" x14ac:dyDescent="0.3">
      <c r="A11" s="2" t="s">
        <v>21</v>
      </c>
      <c r="B11" s="2" t="s">
        <v>22</v>
      </c>
      <c r="C11" s="2" t="s">
        <v>12</v>
      </c>
      <c r="D11" s="2">
        <v>429</v>
      </c>
      <c r="E11" s="2">
        <v>639</v>
      </c>
      <c r="F11" s="2">
        <f t="shared" si="0"/>
        <v>210</v>
      </c>
      <c r="G11" s="2">
        <v>100</v>
      </c>
      <c r="H11" s="2">
        <f t="shared" si="1"/>
        <v>1680</v>
      </c>
      <c r="I11" s="8">
        <f t="shared" si="2"/>
        <v>1780</v>
      </c>
      <c r="J11" s="2" t="s">
        <v>15</v>
      </c>
      <c r="K11" s="8">
        <f t="shared" si="3"/>
        <v>0</v>
      </c>
      <c r="L11" s="8">
        <f t="shared" si="4"/>
        <v>1780</v>
      </c>
    </row>
    <row r="12" spans="1:20" x14ac:dyDescent="0.3">
      <c r="A12" s="2" t="s">
        <v>21</v>
      </c>
      <c r="B12" s="2" t="s">
        <v>22</v>
      </c>
      <c r="C12" s="2" t="s">
        <v>14</v>
      </c>
      <c r="D12" s="2">
        <v>639</v>
      </c>
      <c r="E12" s="2">
        <v>881</v>
      </c>
      <c r="F12" s="2">
        <f t="shared" si="0"/>
        <v>242</v>
      </c>
      <c r="G12" s="2">
        <v>100</v>
      </c>
      <c r="H12" s="2">
        <f t="shared" si="1"/>
        <v>1936</v>
      </c>
      <c r="I12" s="8">
        <f t="shared" si="2"/>
        <v>2036</v>
      </c>
      <c r="J12" s="2" t="s">
        <v>15</v>
      </c>
      <c r="K12" s="8">
        <f t="shared" si="3"/>
        <v>0</v>
      </c>
      <c r="L12" s="8">
        <f t="shared" si="4"/>
        <v>2036</v>
      </c>
      <c r="O12" t="s">
        <v>78</v>
      </c>
      <c r="P12" t="s">
        <v>79</v>
      </c>
      <c r="Q12" t="s">
        <v>80</v>
      </c>
    </row>
    <row r="13" spans="1:20" x14ac:dyDescent="0.3">
      <c r="A13" s="2" t="s">
        <v>21</v>
      </c>
      <c r="B13" s="2" t="s">
        <v>22</v>
      </c>
      <c r="C13" s="2" t="s">
        <v>16</v>
      </c>
      <c r="D13" s="2">
        <v>881</v>
      </c>
      <c r="E13" s="2">
        <v>979</v>
      </c>
      <c r="F13" s="2">
        <f t="shared" si="0"/>
        <v>98</v>
      </c>
      <c r="G13" s="2">
        <v>100</v>
      </c>
      <c r="H13" s="2">
        <f t="shared" si="1"/>
        <v>294</v>
      </c>
      <c r="I13" s="8">
        <f t="shared" si="2"/>
        <v>394</v>
      </c>
      <c r="J13" s="2" t="s">
        <v>13</v>
      </c>
      <c r="K13" s="8">
        <f t="shared" si="3"/>
        <v>19.700000000000003</v>
      </c>
      <c r="L13" s="8">
        <f t="shared" si="4"/>
        <v>413.7</v>
      </c>
      <c r="O13">
        <f>MAX(L2:L91)</f>
        <v>2179.8000000000002</v>
      </c>
      <c r="P13">
        <f>MIN(L2:L91)</f>
        <v>352</v>
      </c>
      <c r="Q13">
        <f>AVERAGE(I2:I91)</f>
        <v>1050.0999999999999</v>
      </c>
    </row>
    <row r="14" spans="1:20" x14ac:dyDescent="0.3">
      <c r="A14" s="2" t="s">
        <v>23</v>
      </c>
      <c r="B14" s="2" t="s">
        <v>24</v>
      </c>
      <c r="C14" s="2" t="s">
        <v>12</v>
      </c>
      <c r="D14" s="2">
        <v>565</v>
      </c>
      <c r="E14" s="2">
        <v>660</v>
      </c>
      <c r="F14" s="2">
        <f t="shared" si="0"/>
        <v>95</v>
      </c>
      <c r="G14" s="2">
        <v>100</v>
      </c>
      <c r="H14" s="2">
        <f t="shared" si="1"/>
        <v>285</v>
      </c>
      <c r="I14" s="8">
        <f t="shared" si="2"/>
        <v>385</v>
      </c>
      <c r="J14" s="2" t="s">
        <v>13</v>
      </c>
      <c r="K14" s="8">
        <f t="shared" si="3"/>
        <v>19.25</v>
      </c>
      <c r="L14" s="8">
        <f t="shared" si="4"/>
        <v>404.25</v>
      </c>
    </row>
    <row r="15" spans="1:20" x14ac:dyDescent="0.3">
      <c r="A15" s="2" t="s">
        <v>23</v>
      </c>
      <c r="B15" s="2" t="s">
        <v>24</v>
      </c>
      <c r="C15" s="2" t="s">
        <v>14</v>
      </c>
      <c r="D15" s="2">
        <v>660</v>
      </c>
      <c r="E15" s="2">
        <v>894</v>
      </c>
      <c r="F15" s="2">
        <f t="shared" si="0"/>
        <v>234</v>
      </c>
      <c r="G15" s="2">
        <v>100</v>
      </c>
      <c r="H15" s="2">
        <f t="shared" si="1"/>
        <v>1872</v>
      </c>
      <c r="I15" s="8">
        <f t="shared" si="2"/>
        <v>1972</v>
      </c>
      <c r="J15" s="2" t="s">
        <v>15</v>
      </c>
      <c r="K15" s="8">
        <f t="shared" si="3"/>
        <v>0</v>
      </c>
      <c r="L15" s="8">
        <f t="shared" si="4"/>
        <v>1972</v>
      </c>
    </row>
    <row r="16" spans="1:20" x14ac:dyDescent="0.3">
      <c r="A16" s="2" t="s">
        <v>23</v>
      </c>
      <c r="B16" s="2" t="s">
        <v>24</v>
      </c>
      <c r="C16" s="2" t="s">
        <v>16</v>
      </c>
      <c r="D16" s="2">
        <v>894</v>
      </c>
      <c r="E16" s="2">
        <v>997</v>
      </c>
      <c r="F16" s="2">
        <f t="shared" si="0"/>
        <v>103</v>
      </c>
      <c r="G16" s="2">
        <v>100</v>
      </c>
      <c r="H16" s="2">
        <f t="shared" si="1"/>
        <v>515</v>
      </c>
      <c r="I16" s="8">
        <f t="shared" si="2"/>
        <v>615</v>
      </c>
      <c r="J16" s="2" t="s">
        <v>15</v>
      </c>
      <c r="K16" s="8">
        <f t="shared" si="3"/>
        <v>0</v>
      </c>
      <c r="L16" s="8">
        <f t="shared" si="4"/>
        <v>615</v>
      </c>
      <c r="O16" t="s">
        <v>81</v>
      </c>
    </row>
    <row r="17" spans="1:12" x14ac:dyDescent="0.3">
      <c r="A17" s="2" t="s">
        <v>25</v>
      </c>
      <c r="B17" s="2" t="s">
        <v>26</v>
      </c>
      <c r="C17" s="2" t="s">
        <v>12</v>
      </c>
      <c r="D17" s="2">
        <v>885</v>
      </c>
      <c r="E17" s="2">
        <v>988</v>
      </c>
      <c r="F17" s="2">
        <f t="shared" si="0"/>
        <v>103</v>
      </c>
      <c r="G17" s="2">
        <v>100</v>
      </c>
      <c r="H17" s="2">
        <f t="shared" si="1"/>
        <v>515</v>
      </c>
      <c r="I17" s="8">
        <f t="shared" si="2"/>
        <v>615</v>
      </c>
      <c r="J17" s="2" t="s">
        <v>15</v>
      </c>
      <c r="K17" s="8">
        <f t="shared" si="3"/>
        <v>0</v>
      </c>
      <c r="L17" s="8">
        <f t="shared" si="4"/>
        <v>615</v>
      </c>
    </row>
    <row r="18" spans="1:12" x14ac:dyDescent="0.3">
      <c r="A18" s="2" t="s">
        <v>25</v>
      </c>
      <c r="B18" s="2" t="s">
        <v>26</v>
      </c>
      <c r="C18" s="2" t="s">
        <v>14</v>
      </c>
      <c r="D18" s="2">
        <v>988</v>
      </c>
      <c r="E18" s="2">
        <v>1179</v>
      </c>
      <c r="F18" s="2">
        <f t="shared" si="0"/>
        <v>191</v>
      </c>
      <c r="G18" s="2">
        <v>100</v>
      </c>
      <c r="H18" s="2">
        <f t="shared" si="1"/>
        <v>955</v>
      </c>
      <c r="I18" s="8">
        <f t="shared" si="2"/>
        <v>1055</v>
      </c>
      <c r="J18" s="2" t="s">
        <v>15</v>
      </c>
      <c r="K18" s="8">
        <f t="shared" si="3"/>
        <v>0</v>
      </c>
      <c r="L18" s="8">
        <f t="shared" si="4"/>
        <v>1055</v>
      </c>
    </row>
    <row r="19" spans="1:12" x14ac:dyDescent="0.3">
      <c r="A19" s="2" t="s">
        <v>25</v>
      </c>
      <c r="B19" s="2" t="s">
        <v>26</v>
      </c>
      <c r="C19" s="2" t="s">
        <v>16</v>
      </c>
      <c r="D19" s="2">
        <v>1179</v>
      </c>
      <c r="E19" s="2">
        <v>1278</v>
      </c>
      <c r="F19" s="2">
        <f t="shared" si="0"/>
        <v>99</v>
      </c>
      <c r="G19" s="2">
        <v>100</v>
      </c>
      <c r="H19" s="2">
        <f t="shared" si="1"/>
        <v>297</v>
      </c>
      <c r="I19" s="8">
        <f t="shared" si="2"/>
        <v>397</v>
      </c>
      <c r="J19" s="2" t="s">
        <v>15</v>
      </c>
      <c r="K19" s="8">
        <f t="shared" si="3"/>
        <v>0</v>
      </c>
      <c r="L19" s="8">
        <f t="shared" si="4"/>
        <v>397</v>
      </c>
    </row>
    <row r="20" spans="1:12" x14ac:dyDescent="0.3">
      <c r="A20" s="2" t="s">
        <v>27</v>
      </c>
      <c r="B20" s="2" t="s">
        <v>28</v>
      </c>
      <c r="C20" s="2" t="s">
        <v>12</v>
      </c>
      <c r="D20" s="2">
        <v>969</v>
      </c>
      <c r="E20" s="2">
        <v>1133</v>
      </c>
      <c r="F20" s="2">
        <f t="shared" si="0"/>
        <v>164</v>
      </c>
      <c r="G20" s="2">
        <v>100</v>
      </c>
      <c r="H20" s="2">
        <f t="shared" si="1"/>
        <v>820</v>
      </c>
      <c r="I20" s="8">
        <f t="shared" si="2"/>
        <v>920</v>
      </c>
      <c r="J20" s="2" t="s">
        <v>15</v>
      </c>
      <c r="K20" s="8">
        <f t="shared" si="3"/>
        <v>0</v>
      </c>
      <c r="L20" s="8">
        <f t="shared" si="4"/>
        <v>920</v>
      </c>
    </row>
    <row r="21" spans="1:12" x14ac:dyDescent="0.3">
      <c r="A21" s="2" t="s">
        <v>27</v>
      </c>
      <c r="B21" s="2" t="s">
        <v>28</v>
      </c>
      <c r="C21" s="2" t="s">
        <v>14</v>
      </c>
      <c r="D21" s="2">
        <v>1133</v>
      </c>
      <c r="E21" s="2">
        <v>1323</v>
      </c>
      <c r="F21" s="2">
        <f t="shared" si="0"/>
        <v>190</v>
      </c>
      <c r="G21" s="2">
        <v>100</v>
      </c>
      <c r="H21" s="2">
        <f t="shared" si="1"/>
        <v>950</v>
      </c>
      <c r="I21" s="8">
        <f t="shared" si="2"/>
        <v>1050</v>
      </c>
      <c r="J21" s="2" t="s">
        <v>15</v>
      </c>
      <c r="K21" s="8">
        <f t="shared" si="3"/>
        <v>0</v>
      </c>
      <c r="L21" s="8">
        <f t="shared" si="4"/>
        <v>1050</v>
      </c>
    </row>
    <row r="22" spans="1:12" x14ac:dyDescent="0.3">
      <c r="A22" s="2" t="s">
        <v>27</v>
      </c>
      <c r="B22" s="2" t="s">
        <v>28</v>
      </c>
      <c r="C22" s="2" t="s">
        <v>16</v>
      </c>
      <c r="D22" s="2">
        <v>1323</v>
      </c>
      <c r="E22" s="2">
        <v>1449</v>
      </c>
      <c r="F22" s="2">
        <f t="shared" si="0"/>
        <v>126</v>
      </c>
      <c r="G22" s="2">
        <v>100</v>
      </c>
      <c r="H22" s="2">
        <f t="shared" si="1"/>
        <v>630</v>
      </c>
      <c r="I22" s="8">
        <f t="shared" si="2"/>
        <v>730</v>
      </c>
      <c r="J22" s="2" t="s">
        <v>13</v>
      </c>
      <c r="K22" s="8">
        <f t="shared" si="3"/>
        <v>36.5</v>
      </c>
      <c r="L22" s="8">
        <f t="shared" si="4"/>
        <v>766.5</v>
      </c>
    </row>
    <row r="23" spans="1:12" x14ac:dyDescent="0.3">
      <c r="A23" s="2" t="s">
        <v>29</v>
      </c>
      <c r="B23" s="2" t="s">
        <v>30</v>
      </c>
      <c r="C23" s="2" t="s">
        <v>12</v>
      </c>
      <c r="D23" s="2">
        <v>1141</v>
      </c>
      <c r="E23" s="2">
        <v>1242</v>
      </c>
      <c r="F23" s="2">
        <f t="shared" si="0"/>
        <v>101</v>
      </c>
      <c r="G23" s="2">
        <v>100</v>
      </c>
      <c r="H23" s="2">
        <f t="shared" si="1"/>
        <v>505</v>
      </c>
      <c r="I23" s="8">
        <f t="shared" si="2"/>
        <v>605</v>
      </c>
      <c r="J23" s="2" t="s">
        <v>13</v>
      </c>
      <c r="K23" s="8">
        <f t="shared" si="3"/>
        <v>30.25</v>
      </c>
      <c r="L23" s="8">
        <f t="shared" si="4"/>
        <v>635.25</v>
      </c>
    </row>
    <row r="24" spans="1:12" x14ac:dyDescent="0.3">
      <c r="A24" s="2" t="s">
        <v>29</v>
      </c>
      <c r="B24" s="2" t="s">
        <v>30</v>
      </c>
      <c r="C24" s="2" t="s">
        <v>14</v>
      </c>
      <c r="D24" s="2">
        <v>1242</v>
      </c>
      <c r="E24" s="2">
        <v>1382</v>
      </c>
      <c r="F24" s="2">
        <f t="shared" si="0"/>
        <v>140</v>
      </c>
      <c r="G24" s="2">
        <v>100</v>
      </c>
      <c r="H24" s="2">
        <f t="shared" si="1"/>
        <v>700</v>
      </c>
      <c r="I24" s="8">
        <f t="shared" si="2"/>
        <v>800</v>
      </c>
      <c r="J24" s="2" t="s">
        <v>13</v>
      </c>
      <c r="K24" s="8">
        <f t="shared" si="3"/>
        <v>40</v>
      </c>
      <c r="L24" s="8">
        <f t="shared" si="4"/>
        <v>840</v>
      </c>
    </row>
    <row r="25" spans="1:12" x14ac:dyDescent="0.3">
      <c r="A25" s="2" t="s">
        <v>29</v>
      </c>
      <c r="B25" s="2" t="s">
        <v>30</v>
      </c>
      <c r="C25" s="2" t="s">
        <v>16</v>
      </c>
      <c r="D25" s="2">
        <v>1382</v>
      </c>
      <c r="E25" s="2">
        <v>1464</v>
      </c>
      <c r="F25" s="2">
        <f t="shared" si="0"/>
        <v>82</v>
      </c>
      <c r="G25" s="2">
        <v>100</v>
      </c>
      <c r="H25" s="2">
        <f t="shared" si="1"/>
        <v>246</v>
      </c>
      <c r="I25" s="8">
        <f t="shared" si="2"/>
        <v>346</v>
      </c>
      <c r="J25" s="2" t="s">
        <v>13</v>
      </c>
      <c r="K25" s="8">
        <f t="shared" si="3"/>
        <v>17.3</v>
      </c>
      <c r="L25" s="8">
        <f t="shared" si="4"/>
        <v>363.3</v>
      </c>
    </row>
    <row r="26" spans="1:12" x14ac:dyDescent="0.3">
      <c r="A26" s="2" t="s">
        <v>31</v>
      </c>
      <c r="B26" s="2" t="s">
        <v>32</v>
      </c>
      <c r="C26" s="2" t="s">
        <v>12</v>
      </c>
      <c r="D26" s="2">
        <v>1103</v>
      </c>
      <c r="E26" s="2">
        <v>1233</v>
      </c>
      <c r="F26" s="2">
        <f t="shared" si="0"/>
        <v>130</v>
      </c>
      <c r="G26" s="2">
        <v>100</v>
      </c>
      <c r="H26" s="2">
        <f t="shared" si="1"/>
        <v>650</v>
      </c>
      <c r="I26" s="8">
        <f t="shared" si="2"/>
        <v>750</v>
      </c>
      <c r="J26" s="2" t="s">
        <v>15</v>
      </c>
      <c r="K26" s="8">
        <f t="shared" si="3"/>
        <v>0</v>
      </c>
      <c r="L26" s="8">
        <f t="shared" si="4"/>
        <v>750</v>
      </c>
    </row>
    <row r="27" spans="1:12" x14ac:dyDescent="0.3">
      <c r="A27" s="2" t="s">
        <v>31</v>
      </c>
      <c r="B27" s="2" t="s">
        <v>32</v>
      </c>
      <c r="C27" s="2" t="s">
        <v>14</v>
      </c>
      <c r="D27" s="2">
        <v>1233</v>
      </c>
      <c r="E27" s="2">
        <v>1350</v>
      </c>
      <c r="F27" s="2">
        <f t="shared" si="0"/>
        <v>117</v>
      </c>
      <c r="G27" s="2">
        <v>100</v>
      </c>
      <c r="H27" s="2">
        <f t="shared" si="1"/>
        <v>585</v>
      </c>
      <c r="I27" s="8">
        <f t="shared" si="2"/>
        <v>685</v>
      </c>
      <c r="J27" s="2" t="s">
        <v>13</v>
      </c>
      <c r="K27" s="8">
        <f t="shared" si="3"/>
        <v>34.25</v>
      </c>
      <c r="L27" s="8">
        <f t="shared" si="4"/>
        <v>719.25</v>
      </c>
    </row>
    <row r="28" spans="1:12" x14ac:dyDescent="0.3">
      <c r="A28" s="2" t="s">
        <v>31</v>
      </c>
      <c r="B28" s="2" t="s">
        <v>32</v>
      </c>
      <c r="C28" s="2" t="s">
        <v>16</v>
      </c>
      <c r="D28" s="2">
        <v>1350</v>
      </c>
      <c r="E28" s="2">
        <v>1443</v>
      </c>
      <c r="F28" s="2">
        <f t="shared" si="0"/>
        <v>93</v>
      </c>
      <c r="G28" s="2">
        <v>100</v>
      </c>
      <c r="H28" s="2">
        <f t="shared" si="1"/>
        <v>279</v>
      </c>
      <c r="I28" s="8">
        <f t="shared" si="2"/>
        <v>379</v>
      </c>
      <c r="J28" s="2" t="s">
        <v>13</v>
      </c>
      <c r="K28" s="8">
        <f t="shared" si="3"/>
        <v>18.95</v>
      </c>
      <c r="L28" s="8">
        <f t="shared" si="4"/>
        <v>397.95</v>
      </c>
    </row>
    <row r="29" spans="1:12" x14ac:dyDescent="0.3">
      <c r="A29" s="2" t="s">
        <v>33</v>
      </c>
      <c r="B29" s="2" t="s">
        <v>34</v>
      </c>
      <c r="C29" s="2" t="s">
        <v>12</v>
      </c>
      <c r="D29" s="2">
        <v>1024</v>
      </c>
      <c r="E29" s="2">
        <v>1231</v>
      </c>
      <c r="F29" s="2">
        <f t="shared" si="0"/>
        <v>207</v>
      </c>
      <c r="G29" s="2">
        <v>100</v>
      </c>
      <c r="H29" s="2">
        <f t="shared" si="1"/>
        <v>1656</v>
      </c>
      <c r="I29" s="8">
        <f t="shared" si="2"/>
        <v>1756</v>
      </c>
      <c r="J29" s="2" t="s">
        <v>15</v>
      </c>
      <c r="K29" s="8">
        <f t="shared" si="3"/>
        <v>0</v>
      </c>
      <c r="L29" s="8">
        <f t="shared" si="4"/>
        <v>1756</v>
      </c>
    </row>
    <row r="30" spans="1:12" x14ac:dyDescent="0.3">
      <c r="A30" s="2" t="s">
        <v>33</v>
      </c>
      <c r="B30" s="2" t="s">
        <v>34</v>
      </c>
      <c r="C30" s="2" t="s">
        <v>14</v>
      </c>
      <c r="D30" s="2">
        <v>1231</v>
      </c>
      <c r="E30" s="2">
        <v>1476</v>
      </c>
      <c r="F30" s="2">
        <f t="shared" si="0"/>
        <v>245</v>
      </c>
      <c r="G30" s="2">
        <v>100</v>
      </c>
      <c r="H30" s="2">
        <f t="shared" si="1"/>
        <v>1960</v>
      </c>
      <c r="I30" s="8">
        <f t="shared" si="2"/>
        <v>2060</v>
      </c>
      <c r="J30" s="2" t="s">
        <v>15</v>
      </c>
      <c r="K30" s="8">
        <f t="shared" si="3"/>
        <v>0</v>
      </c>
      <c r="L30" s="8">
        <f t="shared" si="4"/>
        <v>2060</v>
      </c>
    </row>
    <row r="31" spans="1:12" x14ac:dyDescent="0.3">
      <c r="A31" s="2" t="s">
        <v>33</v>
      </c>
      <c r="B31" s="2" t="s">
        <v>34</v>
      </c>
      <c r="C31" s="2" t="s">
        <v>16</v>
      </c>
      <c r="D31" s="2">
        <v>1476</v>
      </c>
      <c r="E31" s="2">
        <v>1631</v>
      </c>
      <c r="F31" s="2">
        <f t="shared" si="0"/>
        <v>155</v>
      </c>
      <c r="G31" s="2">
        <v>100</v>
      </c>
      <c r="H31" s="2">
        <f t="shared" si="1"/>
        <v>775</v>
      </c>
      <c r="I31" s="8">
        <f t="shared" si="2"/>
        <v>875</v>
      </c>
      <c r="J31" s="2" t="s">
        <v>13</v>
      </c>
      <c r="K31" s="8">
        <f t="shared" si="3"/>
        <v>43.75</v>
      </c>
      <c r="L31" s="8">
        <f t="shared" si="4"/>
        <v>918.75</v>
      </c>
    </row>
    <row r="32" spans="1:12" x14ac:dyDescent="0.3">
      <c r="A32" s="2" t="s">
        <v>35</v>
      </c>
      <c r="B32" s="2" t="s">
        <v>36</v>
      </c>
      <c r="C32" s="2" t="s">
        <v>12</v>
      </c>
      <c r="D32" s="2">
        <v>1043</v>
      </c>
      <c r="E32" s="2">
        <v>1202</v>
      </c>
      <c r="F32" s="2">
        <f t="shared" si="0"/>
        <v>159</v>
      </c>
      <c r="G32" s="2">
        <v>100</v>
      </c>
      <c r="H32" s="2">
        <f t="shared" si="1"/>
        <v>795</v>
      </c>
      <c r="I32" s="8">
        <f t="shared" si="2"/>
        <v>895</v>
      </c>
      <c r="J32" s="2" t="s">
        <v>13</v>
      </c>
      <c r="K32" s="8">
        <f t="shared" si="3"/>
        <v>44.75</v>
      </c>
      <c r="L32" s="8">
        <f t="shared" si="4"/>
        <v>939.75</v>
      </c>
    </row>
    <row r="33" spans="1:12" x14ac:dyDescent="0.3">
      <c r="A33" s="2" t="s">
        <v>35</v>
      </c>
      <c r="B33" s="2" t="s">
        <v>36</v>
      </c>
      <c r="C33" s="2" t="s">
        <v>14</v>
      </c>
      <c r="D33" s="2">
        <v>1202</v>
      </c>
      <c r="E33" s="2">
        <v>1429</v>
      </c>
      <c r="F33" s="2">
        <f t="shared" si="0"/>
        <v>227</v>
      </c>
      <c r="G33" s="2">
        <v>100</v>
      </c>
      <c r="H33" s="2">
        <f t="shared" si="1"/>
        <v>1816</v>
      </c>
      <c r="I33" s="8">
        <f t="shared" si="2"/>
        <v>1916</v>
      </c>
      <c r="J33" s="2" t="s">
        <v>15</v>
      </c>
      <c r="K33" s="8">
        <f t="shared" si="3"/>
        <v>0</v>
      </c>
      <c r="L33" s="8">
        <f t="shared" si="4"/>
        <v>1916</v>
      </c>
    </row>
    <row r="34" spans="1:12" x14ac:dyDescent="0.3">
      <c r="A34" s="2" t="s">
        <v>35</v>
      </c>
      <c r="B34" s="2" t="s">
        <v>36</v>
      </c>
      <c r="C34" s="2" t="s">
        <v>16</v>
      </c>
      <c r="D34" s="2">
        <v>1429</v>
      </c>
      <c r="E34" s="2">
        <v>1629</v>
      </c>
      <c r="F34" s="2">
        <f t="shared" si="0"/>
        <v>200</v>
      </c>
      <c r="G34" s="2">
        <v>100</v>
      </c>
      <c r="H34" s="2">
        <f t="shared" si="1"/>
        <v>1000</v>
      </c>
      <c r="I34" s="8">
        <f t="shared" si="2"/>
        <v>1100</v>
      </c>
      <c r="J34" s="2" t="s">
        <v>13</v>
      </c>
      <c r="K34" s="8">
        <f t="shared" si="3"/>
        <v>55</v>
      </c>
      <c r="L34" s="8">
        <f t="shared" si="4"/>
        <v>1155</v>
      </c>
    </row>
    <row r="35" spans="1:12" x14ac:dyDescent="0.3">
      <c r="A35" s="2" t="s">
        <v>37</v>
      </c>
      <c r="B35" s="2" t="s">
        <v>38</v>
      </c>
      <c r="C35" s="2" t="s">
        <v>12</v>
      </c>
      <c r="D35" s="2">
        <v>528</v>
      </c>
      <c r="E35" s="2">
        <v>632</v>
      </c>
      <c r="F35" s="2">
        <f t="shared" si="0"/>
        <v>104</v>
      </c>
      <c r="G35" s="2">
        <v>100</v>
      </c>
      <c r="H35" s="2">
        <f t="shared" si="1"/>
        <v>520</v>
      </c>
      <c r="I35" s="8">
        <f t="shared" si="2"/>
        <v>620</v>
      </c>
      <c r="J35" s="2" t="s">
        <v>15</v>
      </c>
      <c r="K35" s="8">
        <f t="shared" si="3"/>
        <v>0</v>
      </c>
      <c r="L35" s="8">
        <f t="shared" si="4"/>
        <v>620</v>
      </c>
    </row>
    <row r="36" spans="1:12" x14ac:dyDescent="0.3">
      <c r="A36" s="2" t="s">
        <v>37</v>
      </c>
      <c r="B36" s="2" t="s">
        <v>38</v>
      </c>
      <c r="C36" s="2" t="s">
        <v>14</v>
      </c>
      <c r="D36" s="2">
        <v>632</v>
      </c>
      <c r="E36" s="2">
        <v>722</v>
      </c>
      <c r="F36" s="2">
        <f t="shared" si="0"/>
        <v>90</v>
      </c>
      <c r="G36" s="2">
        <v>100</v>
      </c>
      <c r="H36" s="2">
        <f t="shared" si="1"/>
        <v>270</v>
      </c>
      <c r="I36" s="8">
        <f t="shared" si="2"/>
        <v>370</v>
      </c>
      <c r="J36" s="2" t="s">
        <v>13</v>
      </c>
      <c r="K36" s="8">
        <f t="shared" si="3"/>
        <v>18.5</v>
      </c>
      <c r="L36" s="8">
        <f t="shared" si="4"/>
        <v>388.5</v>
      </c>
    </row>
    <row r="37" spans="1:12" x14ac:dyDescent="0.3">
      <c r="A37" s="2" t="s">
        <v>37</v>
      </c>
      <c r="B37" s="2" t="s">
        <v>38</v>
      </c>
      <c r="C37" s="2" t="s">
        <v>16</v>
      </c>
      <c r="D37" s="2">
        <v>722</v>
      </c>
      <c r="E37" s="2">
        <v>828</v>
      </c>
      <c r="F37" s="2">
        <f t="shared" si="0"/>
        <v>106</v>
      </c>
      <c r="G37" s="2">
        <v>100</v>
      </c>
      <c r="H37" s="2">
        <f t="shared" si="1"/>
        <v>530</v>
      </c>
      <c r="I37" s="8">
        <f t="shared" si="2"/>
        <v>630</v>
      </c>
      <c r="J37" s="2" t="s">
        <v>13</v>
      </c>
      <c r="K37" s="8">
        <f t="shared" si="3"/>
        <v>31.5</v>
      </c>
      <c r="L37" s="8">
        <f t="shared" si="4"/>
        <v>661.5</v>
      </c>
    </row>
    <row r="38" spans="1:12" x14ac:dyDescent="0.3">
      <c r="A38" s="2" t="s">
        <v>39</v>
      </c>
      <c r="B38" s="2" t="s">
        <v>40</v>
      </c>
      <c r="C38" s="2" t="s">
        <v>12</v>
      </c>
      <c r="D38" s="2">
        <v>428</v>
      </c>
      <c r="E38" s="2">
        <v>552</v>
      </c>
      <c r="F38" s="2">
        <f t="shared" si="0"/>
        <v>124</v>
      </c>
      <c r="G38" s="2">
        <v>100</v>
      </c>
      <c r="H38" s="2">
        <f t="shared" si="1"/>
        <v>620</v>
      </c>
      <c r="I38" s="8">
        <f t="shared" si="2"/>
        <v>720</v>
      </c>
      <c r="J38" s="2" t="s">
        <v>13</v>
      </c>
      <c r="K38" s="8">
        <f t="shared" si="3"/>
        <v>36</v>
      </c>
      <c r="L38" s="8">
        <f t="shared" si="4"/>
        <v>756</v>
      </c>
    </row>
    <row r="39" spans="1:12" x14ac:dyDescent="0.3">
      <c r="A39" s="2" t="s">
        <v>39</v>
      </c>
      <c r="B39" s="2" t="s">
        <v>40</v>
      </c>
      <c r="C39" s="2" t="s">
        <v>14</v>
      </c>
      <c r="D39" s="2">
        <v>552</v>
      </c>
      <c r="E39" s="2">
        <v>645</v>
      </c>
      <c r="F39" s="2">
        <f t="shared" si="0"/>
        <v>93</v>
      </c>
      <c r="G39" s="2">
        <v>100</v>
      </c>
      <c r="H39" s="2">
        <f t="shared" si="1"/>
        <v>279</v>
      </c>
      <c r="I39" s="8">
        <f t="shared" si="2"/>
        <v>379</v>
      </c>
      <c r="J39" s="2" t="s">
        <v>15</v>
      </c>
      <c r="K39" s="8">
        <f t="shared" si="3"/>
        <v>0</v>
      </c>
      <c r="L39" s="8">
        <f t="shared" si="4"/>
        <v>379</v>
      </c>
    </row>
    <row r="40" spans="1:12" x14ac:dyDescent="0.3">
      <c r="A40" s="2" t="s">
        <v>39</v>
      </c>
      <c r="B40" s="2" t="s">
        <v>40</v>
      </c>
      <c r="C40" s="2" t="s">
        <v>16</v>
      </c>
      <c r="D40" s="2">
        <v>645</v>
      </c>
      <c r="E40" s="2">
        <v>878</v>
      </c>
      <c r="F40" s="2">
        <f t="shared" si="0"/>
        <v>233</v>
      </c>
      <c r="G40" s="2">
        <v>100</v>
      </c>
      <c r="H40" s="2">
        <f t="shared" si="1"/>
        <v>1864</v>
      </c>
      <c r="I40" s="8">
        <f t="shared" si="2"/>
        <v>1964</v>
      </c>
      <c r="J40" s="2" t="s">
        <v>15</v>
      </c>
      <c r="K40" s="8">
        <f t="shared" si="3"/>
        <v>0</v>
      </c>
      <c r="L40" s="8">
        <f t="shared" si="4"/>
        <v>1964</v>
      </c>
    </row>
    <row r="41" spans="1:12" x14ac:dyDescent="0.3">
      <c r="A41" s="2" t="s">
        <v>41</v>
      </c>
      <c r="B41" s="2" t="s">
        <v>42</v>
      </c>
      <c r="C41" s="2" t="s">
        <v>12</v>
      </c>
      <c r="D41" s="2">
        <v>697</v>
      </c>
      <c r="E41" s="2">
        <v>937</v>
      </c>
      <c r="F41" s="2">
        <f t="shared" si="0"/>
        <v>240</v>
      </c>
      <c r="G41" s="2">
        <v>100</v>
      </c>
      <c r="H41" s="2">
        <f t="shared" si="1"/>
        <v>1920</v>
      </c>
      <c r="I41" s="8">
        <f t="shared" si="2"/>
        <v>2020</v>
      </c>
      <c r="J41" s="2" t="s">
        <v>13</v>
      </c>
      <c r="K41" s="8">
        <f t="shared" si="3"/>
        <v>101</v>
      </c>
      <c r="L41" s="8">
        <f t="shared" si="4"/>
        <v>2121</v>
      </c>
    </row>
    <row r="42" spans="1:12" x14ac:dyDescent="0.3">
      <c r="A42" s="2" t="s">
        <v>41</v>
      </c>
      <c r="B42" s="2" t="s">
        <v>42</v>
      </c>
      <c r="C42" s="2" t="s">
        <v>14</v>
      </c>
      <c r="D42" s="2">
        <v>937</v>
      </c>
      <c r="E42" s="2">
        <v>1025</v>
      </c>
      <c r="F42" s="2">
        <f t="shared" si="0"/>
        <v>88</v>
      </c>
      <c r="G42" s="2">
        <v>100</v>
      </c>
      <c r="H42" s="2">
        <f t="shared" si="1"/>
        <v>264</v>
      </c>
      <c r="I42" s="8">
        <f t="shared" si="2"/>
        <v>364</v>
      </c>
      <c r="J42" s="2" t="s">
        <v>13</v>
      </c>
      <c r="K42" s="8">
        <f t="shared" si="3"/>
        <v>18.2</v>
      </c>
      <c r="L42" s="8">
        <f t="shared" si="4"/>
        <v>382.2</v>
      </c>
    </row>
    <row r="43" spans="1:12" x14ac:dyDescent="0.3">
      <c r="A43" s="2" t="s">
        <v>41</v>
      </c>
      <c r="B43" s="2" t="s">
        <v>42</v>
      </c>
      <c r="C43" s="2" t="s">
        <v>16</v>
      </c>
      <c r="D43" s="2">
        <v>1025</v>
      </c>
      <c r="E43" s="2">
        <v>1255</v>
      </c>
      <c r="F43" s="2">
        <f t="shared" si="0"/>
        <v>230</v>
      </c>
      <c r="G43" s="2">
        <v>100</v>
      </c>
      <c r="H43" s="2">
        <f t="shared" si="1"/>
        <v>1840</v>
      </c>
      <c r="I43" s="8">
        <f t="shared" si="2"/>
        <v>1940</v>
      </c>
      <c r="J43" s="2" t="s">
        <v>13</v>
      </c>
      <c r="K43" s="8">
        <f t="shared" si="3"/>
        <v>97</v>
      </c>
      <c r="L43" s="8">
        <f t="shared" si="4"/>
        <v>2037</v>
      </c>
    </row>
    <row r="44" spans="1:12" x14ac:dyDescent="0.3">
      <c r="A44" s="2" t="s">
        <v>43</v>
      </c>
      <c r="B44" s="2" t="s">
        <v>44</v>
      </c>
      <c r="C44" s="2" t="s">
        <v>12</v>
      </c>
      <c r="D44" s="2">
        <v>999</v>
      </c>
      <c r="E44" s="2">
        <v>1157</v>
      </c>
      <c r="F44" s="2">
        <f t="shared" si="0"/>
        <v>158</v>
      </c>
      <c r="G44" s="2">
        <v>100</v>
      </c>
      <c r="H44" s="2">
        <f t="shared" si="1"/>
        <v>790</v>
      </c>
      <c r="I44" s="8">
        <f t="shared" si="2"/>
        <v>890</v>
      </c>
      <c r="J44" s="2" t="s">
        <v>15</v>
      </c>
      <c r="K44" s="8">
        <f t="shared" si="3"/>
        <v>0</v>
      </c>
      <c r="L44" s="8">
        <f t="shared" si="4"/>
        <v>890</v>
      </c>
    </row>
    <row r="45" spans="1:12" x14ac:dyDescent="0.3">
      <c r="A45" s="2" t="s">
        <v>43</v>
      </c>
      <c r="B45" s="2" t="s">
        <v>44</v>
      </c>
      <c r="C45" s="2" t="s">
        <v>14</v>
      </c>
      <c r="D45" s="2">
        <v>1157</v>
      </c>
      <c r="E45" s="2">
        <v>1338</v>
      </c>
      <c r="F45" s="2">
        <f t="shared" si="0"/>
        <v>181</v>
      </c>
      <c r="G45" s="2">
        <v>100</v>
      </c>
      <c r="H45" s="2">
        <f t="shared" si="1"/>
        <v>905</v>
      </c>
      <c r="I45" s="8">
        <f t="shared" si="2"/>
        <v>1005</v>
      </c>
      <c r="J45" s="2" t="s">
        <v>13</v>
      </c>
      <c r="K45" s="8">
        <f t="shared" si="3"/>
        <v>50.25</v>
      </c>
      <c r="L45" s="8">
        <f t="shared" si="4"/>
        <v>1055.25</v>
      </c>
    </row>
    <row r="46" spans="1:12" x14ac:dyDescent="0.3">
      <c r="A46" s="2" t="s">
        <v>43</v>
      </c>
      <c r="B46" s="2" t="s">
        <v>44</v>
      </c>
      <c r="C46" s="2" t="s">
        <v>16</v>
      </c>
      <c r="D46" s="2">
        <v>1338</v>
      </c>
      <c r="E46" s="2">
        <v>1567</v>
      </c>
      <c r="F46" s="2">
        <f t="shared" si="0"/>
        <v>229</v>
      </c>
      <c r="G46" s="2">
        <v>100</v>
      </c>
      <c r="H46" s="2">
        <f t="shared" si="1"/>
        <v>1832</v>
      </c>
      <c r="I46" s="8">
        <f t="shared" si="2"/>
        <v>1932</v>
      </c>
      <c r="J46" s="2" t="s">
        <v>15</v>
      </c>
      <c r="K46" s="8">
        <f t="shared" si="3"/>
        <v>0</v>
      </c>
      <c r="L46" s="8">
        <f t="shared" si="4"/>
        <v>1932</v>
      </c>
    </row>
    <row r="47" spans="1:12" x14ac:dyDescent="0.3">
      <c r="A47" s="2" t="s">
        <v>45</v>
      </c>
      <c r="B47" s="2" t="s">
        <v>46</v>
      </c>
      <c r="C47" s="2" t="s">
        <v>12</v>
      </c>
      <c r="D47" s="2">
        <v>740</v>
      </c>
      <c r="E47" s="2">
        <v>932</v>
      </c>
      <c r="F47" s="2">
        <f t="shared" si="0"/>
        <v>192</v>
      </c>
      <c r="G47" s="2">
        <v>100</v>
      </c>
      <c r="H47" s="2">
        <f t="shared" si="1"/>
        <v>960</v>
      </c>
      <c r="I47" s="8">
        <f t="shared" si="2"/>
        <v>1060</v>
      </c>
      <c r="J47" s="2" t="s">
        <v>13</v>
      </c>
      <c r="K47" s="8">
        <f t="shared" si="3"/>
        <v>53</v>
      </c>
      <c r="L47" s="8">
        <f t="shared" si="4"/>
        <v>1113</v>
      </c>
    </row>
    <row r="48" spans="1:12" x14ac:dyDescent="0.3">
      <c r="A48" s="2" t="s">
        <v>45</v>
      </c>
      <c r="B48" s="2" t="s">
        <v>46</v>
      </c>
      <c r="C48" s="2" t="s">
        <v>14</v>
      </c>
      <c r="D48" s="2">
        <v>932</v>
      </c>
      <c r="E48" s="2">
        <v>1179</v>
      </c>
      <c r="F48" s="2">
        <f t="shared" si="0"/>
        <v>247</v>
      </c>
      <c r="G48" s="2">
        <v>100</v>
      </c>
      <c r="H48" s="2">
        <f t="shared" si="1"/>
        <v>1976</v>
      </c>
      <c r="I48" s="8">
        <f t="shared" si="2"/>
        <v>2076</v>
      </c>
      <c r="J48" s="2" t="s">
        <v>13</v>
      </c>
      <c r="K48" s="8">
        <f t="shared" si="3"/>
        <v>103.80000000000001</v>
      </c>
      <c r="L48" s="8">
        <f t="shared" si="4"/>
        <v>2179.8000000000002</v>
      </c>
    </row>
    <row r="49" spans="1:12" x14ac:dyDescent="0.3">
      <c r="A49" s="2" t="s">
        <v>45</v>
      </c>
      <c r="B49" s="2" t="s">
        <v>46</v>
      </c>
      <c r="C49" s="2" t="s">
        <v>16</v>
      </c>
      <c r="D49" s="2">
        <v>1179</v>
      </c>
      <c r="E49" s="2">
        <v>1337</v>
      </c>
      <c r="F49" s="2">
        <f t="shared" si="0"/>
        <v>158</v>
      </c>
      <c r="G49" s="2">
        <v>100</v>
      </c>
      <c r="H49" s="2">
        <f t="shared" si="1"/>
        <v>790</v>
      </c>
      <c r="I49" s="8">
        <f t="shared" si="2"/>
        <v>890</v>
      </c>
      <c r="J49" s="2" t="s">
        <v>13</v>
      </c>
      <c r="K49" s="8">
        <f t="shared" si="3"/>
        <v>44.5</v>
      </c>
      <c r="L49" s="8">
        <f t="shared" si="4"/>
        <v>934.5</v>
      </c>
    </row>
    <row r="50" spans="1:12" x14ac:dyDescent="0.3">
      <c r="A50" s="2" t="s">
        <v>47</v>
      </c>
      <c r="B50" s="2" t="s">
        <v>48</v>
      </c>
      <c r="C50" s="2" t="s">
        <v>12</v>
      </c>
      <c r="D50" s="2">
        <v>521</v>
      </c>
      <c r="E50" s="2">
        <v>680</v>
      </c>
      <c r="F50" s="2">
        <f t="shared" si="0"/>
        <v>159</v>
      </c>
      <c r="G50" s="2">
        <v>100</v>
      </c>
      <c r="H50" s="2">
        <f t="shared" si="1"/>
        <v>795</v>
      </c>
      <c r="I50" s="8">
        <f t="shared" si="2"/>
        <v>895</v>
      </c>
      <c r="J50" s="2" t="s">
        <v>15</v>
      </c>
      <c r="K50" s="8">
        <f t="shared" si="3"/>
        <v>0</v>
      </c>
      <c r="L50" s="8">
        <f t="shared" si="4"/>
        <v>895</v>
      </c>
    </row>
    <row r="51" spans="1:12" x14ac:dyDescent="0.3">
      <c r="A51" s="2" t="s">
        <v>47</v>
      </c>
      <c r="B51" s="2" t="s">
        <v>48</v>
      </c>
      <c r="C51" s="2" t="s">
        <v>14</v>
      </c>
      <c r="D51" s="2">
        <v>680</v>
      </c>
      <c r="E51" s="2">
        <v>790</v>
      </c>
      <c r="F51" s="2">
        <f t="shared" si="0"/>
        <v>110</v>
      </c>
      <c r="G51" s="2">
        <v>100</v>
      </c>
      <c r="H51" s="2">
        <f t="shared" si="1"/>
        <v>550</v>
      </c>
      <c r="I51" s="8">
        <f t="shared" si="2"/>
        <v>650</v>
      </c>
      <c r="J51" s="2" t="s">
        <v>15</v>
      </c>
      <c r="K51" s="8">
        <f t="shared" si="3"/>
        <v>0</v>
      </c>
      <c r="L51" s="8">
        <f t="shared" si="4"/>
        <v>650</v>
      </c>
    </row>
    <row r="52" spans="1:12" x14ac:dyDescent="0.3">
      <c r="A52" s="2" t="s">
        <v>47</v>
      </c>
      <c r="B52" s="2" t="s">
        <v>48</v>
      </c>
      <c r="C52" s="2" t="s">
        <v>16</v>
      </c>
      <c r="D52" s="2">
        <v>790</v>
      </c>
      <c r="E52" s="2">
        <v>1007</v>
      </c>
      <c r="F52" s="2">
        <f t="shared" si="0"/>
        <v>217</v>
      </c>
      <c r="G52" s="2">
        <v>100</v>
      </c>
      <c r="H52" s="2">
        <f t="shared" si="1"/>
        <v>1736</v>
      </c>
      <c r="I52" s="8">
        <f t="shared" si="2"/>
        <v>1836</v>
      </c>
      <c r="J52" s="2" t="s">
        <v>13</v>
      </c>
      <c r="K52" s="8">
        <f t="shared" si="3"/>
        <v>91.800000000000011</v>
      </c>
      <c r="L52" s="8">
        <f t="shared" si="4"/>
        <v>1927.8</v>
      </c>
    </row>
    <row r="53" spans="1:12" x14ac:dyDescent="0.3">
      <c r="A53" s="2" t="s">
        <v>49</v>
      </c>
      <c r="B53" s="2" t="s">
        <v>50</v>
      </c>
      <c r="C53" s="2" t="s">
        <v>12</v>
      </c>
      <c r="D53" s="2">
        <v>1112</v>
      </c>
      <c r="E53" s="2">
        <v>1247</v>
      </c>
      <c r="F53" s="2">
        <f t="shared" si="0"/>
        <v>135</v>
      </c>
      <c r="G53" s="2">
        <v>100</v>
      </c>
      <c r="H53" s="2">
        <f t="shared" si="1"/>
        <v>675</v>
      </c>
      <c r="I53" s="8">
        <f t="shared" si="2"/>
        <v>775</v>
      </c>
      <c r="J53" s="2" t="s">
        <v>15</v>
      </c>
      <c r="K53" s="8">
        <f t="shared" si="3"/>
        <v>0</v>
      </c>
      <c r="L53" s="8">
        <f t="shared" si="4"/>
        <v>775</v>
      </c>
    </row>
    <row r="54" spans="1:12" x14ac:dyDescent="0.3">
      <c r="A54" s="2" t="s">
        <v>49</v>
      </c>
      <c r="B54" s="2" t="s">
        <v>50</v>
      </c>
      <c r="C54" s="2" t="s">
        <v>14</v>
      </c>
      <c r="D54" s="2">
        <v>1247</v>
      </c>
      <c r="E54" s="2">
        <v>1417</v>
      </c>
      <c r="F54" s="2">
        <f t="shared" si="0"/>
        <v>170</v>
      </c>
      <c r="G54" s="2">
        <v>100</v>
      </c>
      <c r="H54" s="2">
        <f t="shared" si="1"/>
        <v>850</v>
      </c>
      <c r="I54" s="8">
        <f t="shared" si="2"/>
        <v>950</v>
      </c>
      <c r="J54" s="2" t="s">
        <v>15</v>
      </c>
      <c r="K54" s="8">
        <f t="shared" si="3"/>
        <v>0</v>
      </c>
      <c r="L54" s="8">
        <f t="shared" si="4"/>
        <v>950</v>
      </c>
    </row>
    <row r="55" spans="1:12" x14ac:dyDescent="0.3">
      <c r="A55" s="2" t="s">
        <v>49</v>
      </c>
      <c r="B55" s="2" t="s">
        <v>50</v>
      </c>
      <c r="C55" s="2" t="s">
        <v>16</v>
      </c>
      <c r="D55" s="2">
        <v>1417</v>
      </c>
      <c r="E55" s="2">
        <v>1540</v>
      </c>
      <c r="F55" s="2">
        <f t="shared" si="0"/>
        <v>123</v>
      </c>
      <c r="G55" s="2">
        <v>100</v>
      </c>
      <c r="H55" s="2">
        <f t="shared" si="1"/>
        <v>615</v>
      </c>
      <c r="I55" s="8">
        <f t="shared" si="2"/>
        <v>715</v>
      </c>
      <c r="J55" s="2" t="s">
        <v>15</v>
      </c>
      <c r="K55" s="8">
        <f t="shared" si="3"/>
        <v>0</v>
      </c>
      <c r="L55" s="8">
        <f t="shared" si="4"/>
        <v>715</v>
      </c>
    </row>
    <row r="56" spans="1:12" x14ac:dyDescent="0.3">
      <c r="A56" s="2" t="s">
        <v>51</v>
      </c>
      <c r="B56" s="2" t="s">
        <v>52</v>
      </c>
      <c r="C56" s="2" t="s">
        <v>12</v>
      </c>
      <c r="D56" s="2">
        <v>761</v>
      </c>
      <c r="E56" s="2">
        <v>872</v>
      </c>
      <c r="F56" s="2">
        <f t="shared" si="0"/>
        <v>111</v>
      </c>
      <c r="G56" s="2">
        <v>100</v>
      </c>
      <c r="H56" s="2">
        <f t="shared" si="1"/>
        <v>555</v>
      </c>
      <c r="I56" s="8">
        <f t="shared" si="2"/>
        <v>655</v>
      </c>
      <c r="J56" s="2" t="s">
        <v>15</v>
      </c>
      <c r="K56" s="8">
        <f t="shared" si="3"/>
        <v>0</v>
      </c>
      <c r="L56" s="8">
        <f t="shared" si="4"/>
        <v>655</v>
      </c>
    </row>
    <row r="57" spans="1:12" x14ac:dyDescent="0.3">
      <c r="A57" s="2" t="s">
        <v>51</v>
      </c>
      <c r="B57" s="2" t="s">
        <v>52</v>
      </c>
      <c r="C57" s="2" t="s">
        <v>14</v>
      </c>
      <c r="D57" s="2">
        <v>872</v>
      </c>
      <c r="E57" s="2">
        <v>980</v>
      </c>
      <c r="F57" s="2">
        <f t="shared" si="0"/>
        <v>108</v>
      </c>
      <c r="G57" s="2">
        <v>100</v>
      </c>
      <c r="H57" s="2">
        <f t="shared" si="1"/>
        <v>540</v>
      </c>
      <c r="I57" s="8">
        <f t="shared" si="2"/>
        <v>640</v>
      </c>
      <c r="J57" s="2" t="s">
        <v>13</v>
      </c>
      <c r="K57" s="8">
        <f t="shared" si="3"/>
        <v>32</v>
      </c>
      <c r="L57" s="8">
        <f t="shared" si="4"/>
        <v>672</v>
      </c>
    </row>
    <row r="58" spans="1:12" x14ac:dyDescent="0.3">
      <c r="A58" s="2" t="s">
        <v>51</v>
      </c>
      <c r="B58" s="2" t="s">
        <v>52</v>
      </c>
      <c r="C58" s="2" t="s">
        <v>16</v>
      </c>
      <c r="D58" s="2">
        <v>980</v>
      </c>
      <c r="E58" s="2">
        <v>1097</v>
      </c>
      <c r="F58" s="2">
        <f t="shared" si="0"/>
        <v>117</v>
      </c>
      <c r="G58" s="2">
        <v>100</v>
      </c>
      <c r="H58" s="2">
        <f t="shared" si="1"/>
        <v>585</v>
      </c>
      <c r="I58" s="8">
        <f t="shared" si="2"/>
        <v>685</v>
      </c>
      <c r="J58" s="2" t="s">
        <v>15</v>
      </c>
      <c r="K58" s="8">
        <f t="shared" si="3"/>
        <v>0</v>
      </c>
      <c r="L58" s="8">
        <f t="shared" si="4"/>
        <v>685</v>
      </c>
    </row>
    <row r="59" spans="1:12" x14ac:dyDescent="0.3">
      <c r="A59" s="2" t="s">
        <v>53</v>
      </c>
      <c r="B59" s="2" t="s">
        <v>54</v>
      </c>
      <c r="C59" s="2" t="s">
        <v>12</v>
      </c>
      <c r="D59" s="2">
        <v>958</v>
      </c>
      <c r="E59" s="2">
        <v>1151</v>
      </c>
      <c r="F59" s="2">
        <f t="shared" si="0"/>
        <v>193</v>
      </c>
      <c r="G59" s="2">
        <v>100</v>
      </c>
      <c r="H59" s="2">
        <f t="shared" si="1"/>
        <v>965</v>
      </c>
      <c r="I59" s="8">
        <f t="shared" si="2"/>
        <v>1065</v>
      </c>
      <c r="J59" s="2" t="s">
        <v>13</v>
      </c>
      <c r="K59" s="8">
        <f t="shared" si="3"/>
        <v>53.25</v>
      </c>
      <c r="L59" s="8">
        <f t="shared" si="4"/>
        <v>1118.25</v>
      </c>
    </row>
    <row r="60" spans="1:12" x14ac:dyDescent="0.3">
      <c r="A60" s="2" t="s">
        <v>53</v>
      </c>
      <c r="B60" s="2" t="s">
        <v>54</v>
      </c>
      <c r="C60" s="2" t="s">
        <v>14</v>
      </c>
      <c r="D60" s="2">
        <v>1151</v>
      </c>
      <c r="E60" s="2">
        <v>1285</v>
      </c>
      <c r="F60" s="2">
        <f t="shared" si="0"/>
        <v>134</v>
      </c>
      <c r="G60" s="2">
        <v>100</v>
      </c>
      <c r="H60" s="2">
        <f t="shared" si="1"/>
        <v>670</v>
      </c>
      <c r="I60" s="8">
        <f t="shared" si="2"/>
        <v>770</v>
      </c>
      <c r="J60" s="2" t="s">
        <v>15</v>
      </c>
      <c r="K60" s="8">
        <f t="shared" si="3"/>
        <v>0</v>
      </c>
      <c r="L60" s="8">
        <f t="shared" si="4"/>
        <v>770</v>
      </c>
    </row>
    <row r="61" spans="1:12" x14ac:dyDescent="0.3">
      <c r="A61" s="2" t="s">
        <v>53</v>
      </c>
      <c r="B61" s="2" t="s">
        <v>54</v>
      </c>
      <c r="C61" s="2" t="s">
        <v>16</v>
      </c>
      <c r="D61" s="2">
        <v>1285</v>
      </c>
      <c r="E61" s="2">
        <v>1485</v>
      </c>
      <c r="F61" s="2">
        <f t="shared" si="0"/>
        <v>200</v>
      </c>
      <c r="G61" s="2">
        <v>100</v>
      </c>
      <c r="H61" s="2">
        <f t="shared" si="1"/>
        <v>1000</v>
      </c>
      <c r="I61" s="8">
        <f t="shared" si="2"/>
        <v>1100</v>
      </c>
      <c r="J61" s="2" t="s">
        <v>15</v>
      </c>
      <c r="K61" s="8">
        <f t="shared" si="3"/>
        <v>0</v>
      </c>
      <c r="L61" s="8">
        <f t="shared" si="4"/>
        <v>1100</v>
      </c>
    </row>
    <row r="62" spans="1:12" x14ac:dyDescent="0.3">
      <c r="A62" s="2" t="s">
        <v>55</v>
      </c>
      <c r="B62" s="2" t="s">
        <v>56</v>
      </c>
      <c r="C62" s="2" t="s">
        <v>12</v>
      </c>
      <c r="D62" s="2">
        <v>861</v>
      </c>
      <c r="E62" s="2">
        <v>1077</v>
      </c>
      <c r="F62" s="2">
        <f t="shared" si="0"/>
        <v>216</v>
      </c>
      <c r="G62" s="2">
        <v>100</v>
      </c>
      <c r="H62" s="2">
        <f t="shared" si="1"/>
        <v>1728</v>
      </c>
      <c r="I62" s="8">
        <f t="shared" si="2"/>
        <v>1828</v>
      </c>
      <c r="J62" s="2" t="s">
        <v>15</v>
      </c>
      <c r="K62" s="8">
        <f t="shared" si="3"/>
        <v>0</v>
      </c>
      <c r="L62" s="8">
        <f t="shared" si="4"/>
        <v>1828</v>
      </c>
    </row>
    <row r="63" spans="1:12" x14ac:dyDescent="0.3">
      <c r="A63" s="2" t="s">
        <v>55</v>
      </c>
      <c r="B63" s="2" t="s">
        <v>56</v>
      </c>
      <c r="C63" s="2" t="s">
        <v>14</v>
      </c>
      <c r="D63" s="2">
        <v>1077</v>
      </c>
      <c r="E63" s="2">
        <v>1257</v>
      </c>
      <c r="F63" s="2">
        <f t="shared" si="0"/>
        <v>180</v>
      </c>
      <c r="G63" s="2">
        <v>100</v>
      </c>
      <c r="H63" s="2">
        <f t="shared" si="1"/>
        <v>900</v>
      </c>
      <c r="I63" s="8">
        <f t="shared" si="2"/>
        <v>1000</v>
      </c>
      <c r="J63" s="2" t="s">
        <v>15</v>
      </c>
      <c r="K63" s="8">
        <f t="shared" si="3"/>
        <v>0</v>
      </c>
      <c r="L63" s="8">
        <f t="shared" si="4"/>
        <v>1000</v>
      </c>
    </row>
    <row r="64" spans="1:12" x14ac:dyDescent="0.3">
      <c r="A64" s="2" t="s">
        <v>55</v>
      </c>
      <c r="B64" s="2" t="s">
        <v>56</v>
      </c>
      <c r="C64" s="2" t="s">
        <v>16</v>
      </c>
      <c r="D64" s="2">
        <v>1257</v>
      </c>
      <c r="E64" s="2">
        <v>1351</v>
      </c>
      <c r="F64" s="2">
        <f t="shared" si="0"/>
        <v>94</v>
      </c>
      <c r="G64" s="2">
        <v>100</v>
      </c>
      <c r="H64" s="2">
        <f t="shared" si="1"/>
        <v>282</v>
      </c>
      <c r="I64" s="8">
        <f t="shared" si="2"/>
        <v>382</v>
      </c>
      <c r="J64" s="2" t="s">
        <v>13</v>
      </c>
      <c r="K64" s="8">
        <f t="shared" si="3"/>
        <v>19.100000000000001</v>
      </c>
      <c r="L64" s="8">
        <f t="shared" si="4"/>
        <v>401.1</v>
      </c>
    </row>
    <row r="65" spans="1:12" x14ac:dyDescent="0.3">
      <c r="A65" s="2" t="s">
        <v>57</v>
      </c>
      <c r="B65" s="2" t="s">
        <v>58</v>
      </c>
      <c r="C65" s="2" t="s">
        <v>12</v>
      </c>
      <c r="D65" s="2">
        <v>887</v>
      </c>
      <c r="E65" s="2">
        <v>1017</v>
      </c>
      <c r="F65" s="2">
        <f t="shared" si="0"/>
        <v>130</v>
      </c>
      <c r="G65" s="2">
        <v>100</v>
      </c>
      <c r="H65" s="2">
        <f t="shared" si="1"/>
        <v>650</v>
      </c>
      <c r="I65" s="8">
        <f t="shared" si="2"/>
        <v>750</v>
      </c>
      <c r="J65" s="2" t="s">
        <v>15</v>
      </c>
      <c r="K65" s="8">
        <f t="shared" si="3"/>
        <v>0</v>
      </c>
      <c r="L65" s="8">
        <f t="shared" si="4"/>
        <v>750</v>
      </c>
    </row>
    <row r="66" spans="1:12" x14ac:dyDescent="0.3">
      <c r="A66" s="2" t="s">
        <v>57</v>
      </c>
      <c r="B66" s="2" t="s">
        <v>58</v>
      </c>
      <c r="C66" s="2" t="s">
        <v>14</v>
      </c>
      <c r="D66" s="2">
        <v>1017</v>
      </c>
      <c r="E66" s="2">
        <v>1204</v>
      </c>
      <c r="F66" s="2">
        <f t="shared" si="0"/>
        <v>187</v>
      </c>
      <c r="G66" s="2">
        <v>100</v>
      </c>
      <c r="H66" s="2">
        <f t="shared" si="1"/>
        <v>935</v>
      </c>
      <c r="I66" s="8">
        <f t="shared" si="2"/>
        <v>1035</v>
      </c>
      <c r="J66" s="2" t="s">
        <v>13</v>
      </c>
      <c r="K66" s="8">
        <f t="shared" si="3"/>
        <v>51.75</v>
      </c>
      <c r="L66" s="8">
        <f t="shared" si="4"/>
        <v>1086.75</v>
      </c>
    </row>
    <row r="67" spans="1:12" x14ac:dyDescent="0.3">
      <c r="A67" s="2" t="s">
        <v>57</v>
      </c>
      <c r="B67" s="2" t="s">
        <v>58</v>
      </c>
      <c r="C67" s="2" t="s">
        <v>16</v>
      </c>
      <c r="D67" s="2">
        <v>1204</v>
      </c>
      <c r="E67" s="2">
        <v>1288</v>
      </c>
      <c r="F67" s="2">
        <f t="shared" ref="F67:F91" si="5">E67-D67</f>
        <v>84</v>
      </c>
      <c r="G67" s="2">
        <v>100</v>
      </c>
      <c r="H67" s="2">
        <f t="shared" ref="H67:H91" si="6">IF(F67&lt;=100,F67*3,IF(F67&lt;=200,F67*5,F67*8))</f>
        <v>252</v>
      </c>
      <c r="I67" s="8">
        <f t="shared" ref="I67:I91" si="7">G67+H67</f>
        <v>352</v>
      </c>
      <c r="J67" s="2" t="s">
        <v>15</v>
      </c>
      <c r="K67" s="8">
        <f t="shared" ref="K67:K91" si="8">IF(J67="Pending",I67*0.05,0)</f>
        <v>0</v>
      </c>
      <c r="L67" s="8">
        <f t="shared" ref="L67:L91" si="9">I67+K67</f>
        <v>352</v>
      </c>
    </row>
    <row r="68" spans="1:12" x14ac:dyDescent="0.3">
      <c r="A68" s="2" t="s">
        <v>59</v>
      </c>
      <c r="B68" s="2" t="s">
        <v>60</v>
      </c>
      <c r="C68" s="2" t="s">
        <v>12</v>
      </c>
      <c r="D68" s="2">
        <v>966</v>
      </c>
      <c r="E68" s="2">
        <v>1114</v>
      </c>
      <c r="F68" s="2">
        <f t="shared" si="5"/>
        <v>148</v>
      </c>
      <c r="G68" s="2">
        <v>100</v>
      </c>
      <c r="H68" s="2">
        <f t="shared" si="6"/>
        <v>740</v>
      </c>
      <c r="I68" s="8">
        <f t="shared" si="7"/>
        <v>840</v>
      </c>
      <c r="J68" s="2" t="s">
        <v>13</v>
      </c>
      <c r="K68" s="8">
        <f t="shared" si="8"/>
        <v>42</v>
      </c>
      <c r="L68" s="8">
        <f t="shared" si="9"/>
        <v>882</v>
      </c>
    </row>
    <row r="69" spans="1:12" x14ac:dyDescent="0.3">
      <c r="A69" s="2" t="s">
        <v>59</v>
      </c>
      <c r="B69" s="2" t="s">
        <v>60</v>
      </c>
      <c r="C69" s="2" t="s">
        <v>14</v>
      </c>
      <c r="D69" s="2">
        <v>1114</v>
      </c>
      <c r="E69" s="2">
        <v>1319</v>
      </c>
      <c r="F69" s="2">
        <f t="shared" si="5"/>
        <v>205</v>
      </c>
      <c r="G69" s="2">
        <v>100</v>
      </c>
      <c r="H69" s="2">
        <f t="shared" si="6"/>
        <v>1640</v>
      </c>
      <c r="I69" s="8">
        <f t="shared" si="7"/>
        <v>1740</v>
      </c>
      <c r="J69" s="2" t="s">
        <v>13</v>
      </c>
      <c r="K69" s="8">
        <f t="shared" si="8"/>
        <v>87</v>
      </c>
      <c r="L69" s="8">
        <f t="shared" si="9"/>
        <v>1827</v>
      </c>
    </row>
    <row r="70" spans="1:12" x14ac:dyDescent="0.3">
      <c r="A70" s="2" t="s">
        <v>59</v>
      </c>
      <c r="B70" s="2" t="s">
        <v>60</v>
      </c>
      <c r="C70" s="2" t="s">
        <v>16</v>
      </c>
      <c r="D70" s="2">
        <v>1319</v>
      </c>
      <c r="E70" s="2">
        <v>1515</v>
      </c>
      <c r="F70" s="2">
        <f t="shared" si="5"/>
        <v>196</v>
      </c>
      <c r="G70" s="2">
        <v>100</v>
      </c>
      <c r="H70" s="2">
        <f t="shared" si="6"/>
        <v>980</v>
      </c>
      <c r="I70" s="8">
        <f t="shared" si="7"/>
        <v>1080</v>
      </c>
      <c r="J70" s="2" t="s">
        <v>13</v>
      </c>
      <c r="K70" s="8">
        <f t="shared" si="8"/>
        <v>54</v>
      </c>
      <c r="L70" s="8">
        <f t="shared" si="9"/>
        <v>1134</v>
      </c>
    </row>
    <row r="71" spans="1:12" x14ac:dyDescent="0.3">
      <c r="A71" s="2" t="s">
        <v>61</v>
      </c>
      <c r="B71" s="2" t="s">
        <v>62</v>
      </c>
      <c r="C71" s="2" t="s">
        <v>12</v>
      </c>
      <c r="D71" s="2">
        <v>542</v>
      </c>
      <c r="E71" s="2">
        <v>700</v>
      </c>
      <c r="F71" s="2">
        <f t="shared" si="5"/>
        <v>158</v>
      </c>
      <c r="G71" s="2">
        <v>100</v>
      </c>
      <c r="H71" s="2">
        <f t="shared" si="6"/>
        <v>790</v>
      </c>
      <c r="I71" s="8">
        <f t="shared" si="7"/>
        <v>890</v>
      </c>
      <c r="J71" s="2" t="s">
        <v>15</v>
      </c>
      <c r="K71" s="8">
        <f t="shared" si="8"/>
        <v>0</v>
      </c>
      <c r="L71" s="8">
        <f t="shared" si="9"/>
        <v>890</v>
      </c>
    </row>
    <row r="72" spans="1:12" x14ac:dyDescent="0.3">
      <c r="A72" s="2" t="s">
        <v>61</v>
      </c>
      <c r="B72" s="2" t="s">
        <v>62</v>
      </c>
      <c r="C72" s="2" t="s">
        <v>14</v>
      </c>
      <c r="D72" s="2">
        <v>700</v>
      </c>
      <c r="E72" s="2">
        <v>817</v>
      </c>
      <c r="F72" s="2">
        <f t="shared" si="5"/>
        <v>117</v>
      </c>
      <c r="G72" s="2">
        <v>100</v>
      </c>
      <c r="H72" s="2">
        <f t="shared" si="6"/>
        <v>585</v>
      </c>
      <c r="I72" s="8">
        <f t="shared" si="7"/>
        <v>685</v>
      </c>
      <c r="J72" s="2" t="s">
        <v>13</v>
      </c>
      <c r="K72" s="8">
        <f t="shared" si="8"/>
        <v>34.25</v>
      </c>
      <c r="L72" s="8">
        <f t="shared" si="9"/>
        <v>719.25</v>
      </c>
    </row>
    <row r="73" spans="1:12" x14ac:dyDescent="0.3">
      <c r="A73" s="2" t="s">
        <v>61</v>
      </c>
      <c r="B73" s="2" t="s">
        <v>62</v>
      </c>
      <c r="C73" s="2" t="s">
        <v>16</v>
      </c>
      <c r="D73" s="2">
        <v>817</v>
      </c>
      <c r="E73" s="2">
        <v>1033</v>
      </c>
      <c r="F73" s="2">
        <f t="shared" si="5"/>
        <v>216</v>
      </c>
      <c r="G73" s="2">
        <v>100</v>
      </c>
      <c r="H73" s="2">
        <f t="shared" si="6"/>
        <v>1728</v>
      </c>
      <c r="I73" s="8">
        <f t="shared" si="7"/>
        <v>1828</v>
      </c>
      <c r="J73" s="2" t="s">
        <v>15</v>
      </c>
      <c r="K73" s="8">
        <f t="shared" si="8"/>
        <v>0</v>
      </c>
      <c r="L73" s="8">
        <f t="shared" si="9"/>
        <v>1828</v>
      </c>
    </row>
    <row r="74" spans="1:12" x14ac:dyDescent="0.3">
      <c r="A74" s="2" t="s">
        <v>63</v>
      </c>
      <c r="B74" s="2" t="s">
        <v>64</v>
      </c>
      <c r="C74" s="2" t="s">
        <v>12</v>
      </c>
      <c r="D74" s="2">
        <v>881</v>
      </c>
      <c r="E74" s="2">
        <v>1009</v>
      </c>
      <c r="F74" s="2">
        <f t="shared" si="5"/>
        <v>128</v>
      </c>
      <c r="G74" s="2">
        <v>100</v>
      </c>
      <c r="H74" s="2">
        <f t="shared" si="6"/>
        <v>640</v>
      </c>
      <c r="I74" s="8">
        <f t="shared" si="7"/>
        <v>740</v>
      </c>
      <c r="J74" s="2" t="s">
        <v>15</v>
      </c>
      <c r="K74" s="8">
        <f t="shared" si="8"/>
        <v>0</v>
      </c>
      <c r="L74" s="8">
        <f t="shared" si="9"/>
        <v>740</v>
      </c>
    </row>
    <row r="75" spans="1:12" x14ac:dyDescent="0.3">
      <c r="A75" s="2" t="s">
        <v>63</v>
      </c>
      <c r="B75" s="2" t="s">
        <v>64</v>
      </c>
      <c r="C75" s="2" t="s">
        <v>14</v>
      </c>
      <c r="D75" s="2">
        <v>1009</v>
      </c>
      <c r="E75" s="2">
        <v>1169</v>
      </c>
      <c r="F75" s="2">
        <f t="shared" si="5"/>
        <v>160</v>
      </c>
      <c r="G75" s="2">
        <v>100</v>
      </c>
      <c r="H75" s="2">
        <f t="shared" si="6"/>
        <v>800</v>
      </c>
      <c r="I75" s="8">
        <f t="shared" si="7"/>
        <v>900</v>
      </c>
      <c r="J75" s="2" t="s">
        <v>13</v>
      </c>
      <c r="K75" s="8">
        <f t="shared" si="8"/>
        <v>45</v>
      </c>
      <c r="L75" s="8">
        <f t="shared" si="9"/>
        <v>945</v>
      </c>
    </row>
    <row r="76" spans="1:12" x14ac:dyDescent="0.3">
      <c r="A76" s="2" t="s">
        <v>63</v>
      </c>
      <c r="B76" s="2" t="s">
        <v>64</v>
      </c>
      <c r="C76" s="2" t="s">
        <v>16</v>
      </c>
      <c r="D76" s="2">
        <v>1169</v>
      </c>
      <c r="E76" s="2">
        <v>1418</v>
      </c>
      <c r="F76" s="2">
        <f t="shared" si="5"/>
        <v>249</v>
      </c>
      <c r="G76" s="2">
        <v>100</v>
      </c>
      <c r="H76" s="2">
        <f t="shared" si="6"/>
        <v>1992</v>
      </c>
      <c r="I76" s="8">
        <f t="shared" si="7"/>
        <v>2092</v>
      </c>
      <c r="J76" s="2" t="s">
        <v>15</v>
      </c>
      <c r="K76" s="8">
        <f t="shared" si="8"/>
        <v>0</v>
      </c>
      <c r="L76" s="8">
        <f t="shared" si="9"/>
        <v>2092</v>
      </c>
    </row>
    <row r="77" spans="1:12" x14ac:dyDescent="0.3">
      <c r="A77" s="2" t="s">
        <v>65</v>
      </c>
      <c r="B77" s="2" t="s">
        <v>66</v>
      </c>
      <c r="C77" s="2" t="s">
        <v>12</v>
      </c>
      <c r="D77" s="2">
        <v>792</v>
      </c>
      <c r="E77" s="2">
        <v>987</v>
      </c>
      <c r="F77" s="2">
        <f t="shared" si="5"/>
        <v>195</v>
      </c>
      <c r="G77" s="2">
        <v>100</v>
      </c>
      <c r="H77" s="2">
        <f t="shared" si="6"/>
        <v>975</v>
      </c>
      <c r="I77" s="8">
        <f t="shared" si="7"/>
        <v>1075</v>
      </c>
      <c r="J77" s="2" t="s">
        <v>15</v>
      </c>
      <c r="K77" s="8">
        <f t="shared" si="8"/>
        <v>0</v>
      </c>
      <c r="L77" s="8">
        <f t="shared" si="9"/>
        <v>1075</v>
      </c>
    </row>
    <row r="78" spans="1:12" x14ac:dyDescent="0.3">
      <c r="A78" s="2" t="s">
        <v>65</v>
      </c>
      <c r="B78" s="2" t="s">
        <v>66</v>
      </c>
      <c r="C78" s="2" t="s">
        <v>14</v>
      </c>
      <c r="D78" s="2">
        <v>987</v>
      </c>
      <c r="E78" s="2">
        <v>1126</v>
      </c>
      <c r="F78" s="2">
        <f t="shared" si="5"/>
        <v>139</v>
      </c>
      <c r="G78" s="2">
        <v>100</v>
      </c>
      <c r="H78" s="2">
        <f t="shared" si="6"/>
        <v>695</v>
      </c>
      <c r="I78" s="8">
        <f t="shared" si="7"/>
        <v>795</v>
      </c>
      <c r="J78" s="2" t="s">
        <v>13</v>
      </c>
      <c r="K78" s="8">
        <f t="shared" si="8"/>
        <v>39.75</v>
      </c>
      <c r="L78" s="8">
        <f t="shared" si="9"/>
        <v>834.75</v>
      </c>
    </row>
    <row r="79" spans="1:12" x14ac:dyDescent="0.3">
      <c r="A79" s="2" t="s">
        <v>65</v>
      </c>
      <c r="B79" s="2" t="s">
        <v>66</v>
      </c>
      <c r="C79" s="2" t="s">
        <v>16</v>
      </c>
      <c r="D79" s="2">
        <v>1126</v>
      </c>
      <c r="E79" s="2">
        <v>1284</v>
      </c>
      <c r="F79" s="2">
        <f t="shared" si="5"/>
        <v>158</v>
      </c>
      <c r="G79" s="2">
        <v>100</v>
      </c>
      <c r="H79" s="2">
        <f t="shared" si="6"/>
        <v>790</v>
      </c>
      <c r="I79" s="8">
        <f t="shared" si="7"/>
        <v>890</v>
      </c>
      <c r="J79" s="2" t="s">
        <v>13</v>
      </c>
      <c r="K79" s="8">
        <f t="shared" si="8"/>
        <v>44.5</v>
      </c>
      <c r="L79" s="8">
        <f t="shared" si="9"/>
        <v>934.5</v>
      </c>
    </row>
    <row r="80" spans="1:12" x14ac:dyDescent="0.3">
      <c r="A80" s="2" t="s">
        <v>67</v>
      </c>
      <c r="B80" s="2" t="s">
        <v>68</v>
      </c>
      <c r="C80" s="2" t="s">
        <v>12</v>
      </c>
      <c r="D80" s="2">
        <v>1087</v>
      </c>
      <c r="E80" s="2">
        <v>1281</v>
      </c>
      <c r="F80" s="2">
        <f t="shared" si="5"/>
        <v>194</v>
      </c>
      <c r="G80" s="2">
        <v>100</v>
      </c>
      <c r="H80" s="2">
        <f t="shared" si="6"/>
        <v>970</v>
      </c>
      <c r="I80" s="8">
        <f t="shared" si="7"/>
        <v>1070</v>
      </c>
      <c r="J80" s="2" t="s">
        <v>15</v>
      </c>
      <c r="K80" s="8">
        <f t="shared" si="8"/>
        <v>0</v>
      </c>
      <c r="L80" s="8">
        <f t="shared" si="9"/>
        <v>1070</v>
      </c>
    </row>
    <row r="81" spans="1:12" x14ac:dyDescent="0.3">
      <c r="A81" s="2" t="s">
        <v>67</v>
      </c>
      <c r="B81" s="2" t="s">
        <v>68</v>
      </c>
      <c r="C81" s="2" t="s">
        <v>14</v>
      </c>
      <c r="D81" s="2">
        <v>1281</v>
      </c>
      <c r="E81" s="2">
        <v>1377</v>
      </c>
      <c r="F81" s="2">
        <f t="shared" si="5"/>
        <v>96</v>
      </c>
      <c r="G81" s="2">
        <v>100</v>
      </c>
      <c r="H81" s="2">
        <f t="shared" si="6"/>
        <v>288</v>
      </c>
      <c r="I81" s="8">
        <f t="shared" si="7"/>
        <v>388</v>
      </c>
      <c r="J81" s="2" t="s">
        <v>13</v>
      </c>
      <c r="K81" s="8">
        <f t="shared" si="8"/>
        <v>19.400000000000002</v>
      </c>
      <c r="L81" s="8">
        <f t="shared" si="9"/>
        <v>407.4</v>
      </c>
    </row>
    <row r="82" spans="1:12" x14ac:dyDescent="0.3">
      <c r="A82" s="2" t="s">
        <v>67</v>
      </c>
      <c r="B82" s="2" t="s">
        <v>68</v>
      </c>
      <c r="C82" s="2" t="s">
        <v>16</v>
      </c>
      <c r="D82" s="2">
        <v>1377</v>
      </c>
      <c r="E82" s="2">
        <v>1543</v>
      </c>
      <c r="F82" s="2">
        <f t="shared" si="5"/>
        <v>166</v>
      </c>
      <c r="G82" s="2">
        <v>100</v>
      </c>
      <c r="H82" s="2">
        <f t="shared" si="6"/>
        <v>830</v>
      </c>
      <c r="I82" s="8">
        <f t="shared" si="7"/>
        <v>930</v>
      </c>
      <c r="J82" s="2" t="s">
        <v>15</v>
      </c>
      <c r="K82" s="8">
        <f t="shared" si="8"/>
        <v>0</v>
      </c>
      <c r="L82" s="8">
        <f t="shared" si="9"/>
        <v>930</v>
      </c>
    </row>
    <row r="83" spans="1:12" x14ac:dyDescent="0.3">
      <c r="A83" s="2" t="s">
        <v>69</v>
      </c>
      <c r="B83" s="2" t="s">
        <v>70</v>
      </c>
      <c r="C83" s="2" t="s">
        <v>12</v>
      </c>
      <c r="D83" s="2">
        <v>848</v>
      </c>
      <c r="E83" s="2">
        <v>1011</v>
      </c>
      <c r="F83" s="2">
        <f t="shared" si="5"/>
        <v>163</v>
      </c>
      <c r="G83" s="2">
        <v>100</v>
      </c>
      <c r="H83" s="2">
        <f t="shared" si="6"/>
        <v>815</v>
      </c>
      <c r="I83" s="8">
        <f t="shared" si="7"/>
        <v>915</v>
      </c>
      <c r="J83" s="2" t="s">
        <v>13</v>
      </c>
      <c r="K83" s="8">
        <f t="shared" si="8"/>
        <v>45.75</v>
      </c>
      <c r="L83" s="8">
        <f t="shared" si="9"/>
        <v>960.75</v>
      </c>
    </row>
    <row r="84" spans="1:12" x14ac:dyDescent="0.3">
      <c r="A84" s="2" t="s">
        <v>69</v>
      </c>
      <c r="B84" s="2" t="s">
        <v>70</v>
      </c>
      <c r="C84" s="2" t="s">
        <v>14</v>
      </c>
      <c r="D84" s="2">
        <v>1011</v>
      </c>
      <c r="E84" s="2">
        <v>1179</v>
      </c>
      <c r="F84" s="2">
        <f t="shared" si="5"/>
        <v>168</v>
      </c>
      <c r="G84" s="2">
        <v>100</v>
      </c>
      <c r="H84" s="2">
        <f t="shared" si="6"/>
        <v>840</v>
      </c>
      <c r="I84" s="8">
        <f t="shared" si="7"/>
        <v>940</v>
      </c>
      <c r="J84" s="2" t="s">
        <v>13</v>
      </c>
      <c r="K84" s="8">
        <f t="shared" si="8"/>
        <v>47</v>
      </c>
      <c r="L84" s="8">
        <f t="shared" si="9"/>
        <v>987</v>
      </c>
    </row>
    <row r="85" spans="1:12" x14ac:dyDescent="0.3">
      <c r="A85" s="2" t="s">
        <v>69</v>
      </c>
      <c r="B85" s="2" t="s">
        <v>70</v>
      </c>
      <c r="C85" s="2" t="s">
        <v>16</v>
      </c>
      <c r="D85" s="2">
        <v>1179</v>
      </c>
      <c r="E85" s="2">
        <v>1429</v>
      </c>
      <c r="F85" s="2">
        <f t="shared" si="5"/>
        <v>250</v>
      </c>
      <c r="G85" s="2">
        <v>100</v>
      </c>
      <c r="H85" s="2">
        <f t="shared" si="6"/>
        <v>2000</v>
      </c>
      <c r="I85" s="8">
        <f t="shared" si="7"/>
        <v>2100</v>
      </c>
      <c r="J85" s="2" t="s">
        <v>15</v>
      </c>
      <c r="K85" s="8">
        <f t="shared" si="8"/>
        <v>0</v>
      </c>
      <c r="L85" s="8">
        <f t="shared" si="9"/>
        <v>2100</v>
      </c>
    </row>
    <row r="86" spans="1:12" x14ac:dyDescent="0.3">
      <c r="A86" s="2" t="s">
        <v>71</v>
      </c>
      <c r="B86" s="2" t="s">
        <v>72</v>
      </c>
      <c r="C86" s="2" t="s">
        <v>12</v>
      </c>
      <c r="D86" s="2">
        <v>670</v>
      </c>
      <c r="E86" s="2">
        <v>896</v>
      </c>
      <c r="F86" s="2">
        <f t="shared" si="5"/>
        <v>226</v>
      </c>
      <c r="G86" s="2">
        <v>100</v>
      </c>
      <c r="H86" s="2">
        <f t="shared" si="6"/>
        <v>1808</v>
      </c>
      <c r="I86" s="8">
        <f t="shared" si="7"/>
        <v>1908</v>
      </c>
      <c r="J86" s="2" t="s">
        <v>13</v>
      </c>
      <c r="K86" s="8">
        <f t="shared" si="8"/>
        <v>95.4</v>
      </c>
      <c r="L86" s="8">
        <f t="shared" si="9"/>
        <v>2003.4</v>
      </c>
    </row>
    <row r="87" spans="1:12" x14ac:dyDescent="0.3">
      <c r="A87" s="2" t="s">
        <v>71</v>
      </c>
      <c r="B87" s="2" t="s">
        <v>72</v>
      </c>
      <c r="C87" s="2" t="s">
        <v>14</v>
      </c>
      <c r="D87" s="2">
        <v>896</v>
      </c>
      <c r="E87" s="2">
        <v>1101</v>
      </c>
      <c r="F87" s="2">
        <f t="shared" si="5"/>
        <v>205</v>
      </c>
      <c r="G87" s="2">
        <v>100</v>
      </c>
      <c r="H87" s="2">
        <f t="shared" si="6"/>
        <v>1640</v>
      </c>
      <c r="I87" s="8">
        <f t="shared" si="7"/>
        <v>1740</v>
      </c>
      <c r="J87" s="2" t="s">
        <v>13</v>
      </c>
      <c r="K87" s="8">
        <f t="shared" si="8"/>
        <v>87</v>
      </c>
      <c r="L87" s="8">
        <f t="shared" si="9"/>
        <v>1827</v>
      </c>
    </row>
    <row r="88" spans="1:12" x14ac:dyDescent="0.3">
      <c r="A88" s="2" t="s">
        <v>71</v>
      </c>
      <c r="B88" s="2" t="s">
        <v>72</v>
      </c>
      <c r="C88" s="2" t="s">
        <v>16</v>
      </c>
      <c r="D88" s="2">
        <v>1101</v>
      </c>
      <c r="E88" s="2">
        <v>1238</v>
      </c>
      <c r="F88" s="2">
        <f t="shared" si="5"/>
        <v>137</v>
      </c>
      <c r="G88" s="2">
        <v>100</v>
      </c>
      <c r="H88" s="2">
        <f t="shared" si="6"/>
        <v>685</v>
      </c>
      <c r="I88" s="8">
        <f t="shared" si="7"/>
        <v>785</v>
      </c>
      <c r="J88" s="2" t="s">
        <v>13</v>
      </c>
      <c r="K88" s="8">
        <f t="shared" si="8"/>
        <v>39.25</v>
      </c>
      <c r="L88" s="8">
        <f t="shared" si="9"/>
        <v>824.25</v>
      </c>
    </row>
    <row r="89" spans="1:12" x14ac:dyDescent="0.3">
      <c r="A89" s="2" t="s">
        <v>73</v>
      </c>
      <c r="B89" s="2" t="s">
        <v>74</v>
      </c>
      <c r="C89" s="2" t="s">
        <v>12</v>
      </c>
      <c r="D89" s="2">
        <v>985</v>
      </c>
      <c r="E89" s="2">
        <v>1109</v>
      </c>
      <c r="F89" s="2">
        <f t="shared" si="5"/>
        <v>124</v>
      </c>
      <c r="G89" s="2">
        <v>100</v>
      </c>
      <c r="H89" s="2">
        <f t="shared" si="6"/>
        <v>620</v>
      </c>
      <c r="I89" s="8">
        <f t="shared" si="7"/>
        <v>720</v>
      </c>
      <c r="J89" s="2" t="s">
        <v>15</v>
      </c>
      <c r="K89" s="8">
        <f t="shared" si="8"/>
        <v>0</v>
      </c>
      <c r="L89" s="8">
        <f t="shared" si="9"/>
        <v>720</v>
      </c>
    </row>
    <row r="90" spans="1:12" x14ac:dyDescent="0.3">
      <c r="A90" s="2" t="s">
        <v>73</v>
      </c>
      <c r="B90" s="2" t="s">
        <v>74</v>
      </c>
      <c r="C90" s="2" t="s">
        <v>14</v>
      </c>
      <c r="D90" s="2">
        <v>1109</v>
      </c>
      <c r="E90" s="2">
        <v>1213</v>
      </c>
      <c r="F90" s="2">
        <f t="shared" si="5"/>
        <v>104</v>
      </c>
      <c r="G90" s="2">
        <v>100</v>
      </c>
      <c r="H90" s="2">
        <f t="shared" si="6"/>
        <v>520</v>
      </c>
      <c r="I90" s="8">
        <f t="shared" si="7"/>
        <v>620</v>
      </c>
      <c r="J90" s="2" t="s">
        <v>15</v>
      </c>
      <c r="K90" s="8">
        <f t="shared" si="8"/>
        <v>0</v>
      </c>
      <c r="L90" s="8">
        <f t="shared" si="9"/>
        <v>620</v>
      </c>
    </row>
    <row r="91" spans="1:12" x14ac:dyDescent="0.3">
      <c r="A91" s="2" t="s">
        <v>73</v>
      </c>
      <c r="B91" s="2" t="s">
        <v>74</v>
      </c>
      <c r="C91" s="2" t="s">
        <v>16</v>
      </c>
      <c r="D91" s="2">
        <v>1213</v>
      </c>
      <c r="E91" s="2">
        <v>1441</v>
      </c>
      <c r="F91" s="2">
        <f t="shared" si="5"/>
        <v>228</v>
      </c>
      <c r="G91" s="2">
        <v>100</v>
      </c>
      <c r="H91" s="2">
        <f t="shared" si="6"/>
        <v>1824</v>
      </c>
      <c r="I91" s="8">
        <f t="shared" si="7"/>
        <v>1924</v>
      </c>
      <c r="J91" s="2" t="s">
        <v>15</v>
      </c>
      <c r="K91" s="8">
        <f t="shared" si="8"/>
        <v>0</v>
      </c>
      <c r="L91" s="8">
        <f t="shared" si="9"/>
        <v>1924</v>
      </c>
    </row>
  </sheetData>
  <mergeCells count="1">
    <mergeCell ref="R3:T3"/>
  </mergeCells>
  <conditionalFormatting sqref="A1:L91">
    <cfRule type="expression" dxfId="0" priority="1">
      <formula>$J2:$J91="Pending"</formula>
    </cfRule>
  </conditionalFormatting>
  <dataValidations count="1">
    <dataValidation type="list" allowBlank="1" showInputMessage="1" showErrorMessage="1" sqref="Q7" xr:uid="{FF5B033C-F128-4D1E-99B1-5C6731A5F5F2}">
      <formula1>$B$2:$B$91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4AAA-6B18-47A9-9DC2-ADEC369D44F6}">
  <dimension ref="A3:B7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.33203125" bestFit="1" customWidth="1"/>
  </cols>
  <sheetData>
    <row r="3" spans="1:2" x14ac:dyDescent="0.3">
      <c r="A3" s="5" t="s">
        <v>82</v>
      </c>
      <c r="B3" t="s">
        <v>84</v>
      </c>
    </row>
    <row r="4" spans="1:2" x14ac:dyDescent="0.3">
      <c r="A4" s="6" t="s">
        <v>12</v>
      </c>
      <c r="B4" s="7">
        <v>31617.95</v>
      </c>
    </row>
    <row r="5" spans="1:2" x14ac:dyDescent="0.3">
      <c r="A5" s="6" t="s">
        <v>14</v>
      </c>
      <c r="B5" s="7">
        <v>32507.8</v>
      </c>
    </row>
    <row r="6" spans="1:2" x14ac:dyDescent="0.3">
      <c r="A6" s="6" t="s">
        <v>16</v>
      </c>
      <c r="B6" s="7">
        <v>32501.8</v>
      </c>
    </row>
    <row r="7" spans="1:2" x14ac:dyDescent="0.3">
      <c r="A7" s="6" t="s">
        <v>83</v>
      </c>
      <c r="B7" s="7">
        <v>96627.55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Monthly Bill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2025-10-25T09:32:36Z</dcterms:modified>
</cp:coreProperties>
</file>